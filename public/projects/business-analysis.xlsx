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pivotTables/pivotTable2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6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/Users/akankshawadhwan/Downloads/"/>
    </mc:Choice>
  </mc:AlternateContent>
  <xr:revisionPtr revIDLastSave="0" documentId="8_{AC0B5FC8-7693-6945-9E3C-6C4F3A86B8F4}" xr6:coauthVersionLast="47" xr6:coauthVersionMax="47" xr10:uidLastSave="{00000000-0000-0000-0000-000000000000}"/>
  <bookViews>
    <workbookView xWindow="0" yWindow="0" windowWidth="28800" windowHeight="16780" activeTab="6" xr2:uid="{00000000-000D-0000-FFFF-FFFF00000000}"/>
  </bookViews>
  <sheets>
    <sheet name="5.ID" sheetId="4" state="veryHidden" r:id="rId1"/>
    <sheet name="Financial information 1 Pt1" sheetId="55" r:id="rId2"/>
    <sheet name="Pivot Table and Chart Pt1" sheetId="56" r:id="rId3"/>
    <sheet name="SI and regression Pt 2" sheetId="51" r:id="rId4"/>
    <sheet name="Current operations  Pt3 " sheetId="52" r:id="rId5"/>
    <sheet name="Franchise operations  Pt3" sheetId="53" r:id="rId6"/>
    <sheet name="Expected Values Pt4" sheetId="54" r:id="rId7"/>
    <sheet name="Food Truck Demand" sheetId="58" r:id="rId8"/>
    <sheet name="Food Truck  Pt 4" sheetId="59" r:id="rId9"/>
    <sheet name="Financial information  FT" sheetId="60" r:id="rId10"/>
  </sheets>
  <definedNames>
    <definedName name="solver_eng" localSheetId="3" hidden="1">1</definedName>
    <definedName name="solver_lin" localSheetId="3" hidden="1">2</definedName>
    <definedName name="solver_neg" localSheetId="3" hidden="1">1</definedName>
    <definedName name="solver_num" localSheetId="3" hidden="1">0</definedName>
    <definedName name="solver_opt" localSheetId="3" hidden="1">'SI and regression Pt 2'!$H$7</definedName>
    <definedName name="solver_typ" localSheetId="3" hidden="1">1</definedName>
    <definedName name="solver_val" localSheetId="3" hidden="1">0</definedName>
    <definedName name="solver_ver" localSheetId="3" hidden="1">2</definedName>
  </definedNames>
  <calcPr calcId="191029"/>
  <pivotCaches>
    <pivotCache cacheId="6" r:id="rId11"/>
    <pivotCache cacheId="7" r:id="rId12"/>
  </pivotCaches>
  <fileRecoveryPr autoRecover="0"/>
  <extLst>
    <ext xmlns:x14="http://schemas.microsoft.com/office/spreadsheetml/2009/9/main" uri="{79F54976-1DA5-4618-B147-4CDE4B953A38}">
      <x14:workbookPr defaultImageDpi="330"/>
    </ex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  <ext xmlns:mx="http://schemas.microsoft.com/office/mac/excel/2008/main" uri="{7523E5D3-25F3-A5E0-1632-64F254C22452}">
      <mx:ArchID Flags="2"/>
    </ext>
  </extLst>
</workbook>
</file>

<file path=xl/calcChain.xml><?xml version="1.0" encoding="utf-8"?>
<calcChain xmlns="http://schemas.openxmlformats.org/spreadsheetml/2006/main">
  <c r="F59" i="54" l="1"/>
  <c r="G43" i="54"/>
  <c r="F44" i="54"/>
  <c r="F45" i="54"/>
  <c r="F43" i="54"/>
  <c r="G59" i="54"/>
  <c r="C34" i="54"/>
  <c r="F60" i="54"/>
  <c r="F61" i="54"/>
  <c r="C53" i="54"/>
  <c r="F51" i="54"/>
  <c r="G20" i="54"/>
  <c r="F22" i="54"/>
  <c r="F21" i="54"/>
  <c r="F20" i="54"/>
  <c r="G34" i="54"/>
  <c r="F35" i="54"/>
  <c r="F36" i="54"/>
  <c r="F34" i="54"/>
  <c r="E34" i="54"/>
  <c r="E35" i="54"/>
  <c r="E36" i="54"/>
  <c r="D35" i="54"/>
  <c r="D36" i="54"/>
  <c r="D34" i="54"/>
  <c r="C36" i="54"/>
  <c r="C35" i="54"/>
  <c r="G27" i="54"/>
  <c r="F28" i="54"/>
  <c r="F29" i="54"/>
  <c r="F27" i="54"/>
  <c r="G13" i="54"/>
  <c r="F14" i="54"/>
  <c r="F15" i="54"/>
  <c r="F13" i="54"/>
  <c r="C28" i="54"/>
  <c r="D28" i="54"/>
  <c r="E28" i="54"/>
  <c r="C29" i="54"/>
  <c r="D29" i="54"/>
  <c r="E29" i="54"/>
  <c r="D27" i="54"/>
  <c r="E27" i="54"/>
  <c r="C27" i="54"/>
  <c r="C21" i="54"/>
  <c r="D21" i="54"/>
  <c r="E21" i="54"/>
  <c r="C22" i="54"/>
  <c r="D22" i="54"/>
  <c r="E22" i="54"/>
  <c r="D20" i="54"/>
  <c r="E20" i="54"/>
  <c r="C20" i="54"/>
  <c r="C14" i="54"/>
  <c r="D14" i="54"/>
  <c r="E14" i="54"/>
  <c r="C15" i="54"/>
  <c r="D15" i="54"/>
  <c r="E15" i="54"/>
  <c r="D13" i="54"/>
  <c r="E13" i="54"/>
  <c r="C13" i="54"/>
  <c r="C55" i="59"/>
  <c r="D55" i="59"/>
  <c r="E55" i="59"/>
  <c r="E60" i="59" s="1"/>
  <c r="E63" i="59" s="1"/>
  <c r="F55" i="59"/>
  <c r="G55" i="59"/>
  <c r="H55" i="59"/>
  <c r="I55" i="59"/>
  <c r="I61" i="59" s="1"/>
  <c r="J55" i="59"/>
  <c r="K55" i="59"/>
  <c r="L55" i="59"/>
  <c r="M55" i="59"/>
  <c r="M60" i="59" s="1"/>
  <c r="B55" i="59"/>
  <c r="N72" i="59"/>
  <c r="K70" i="59"/>
  <c r="G70" i="59"/>
  <c r="C70" i="59"/>
  <c r="L69" i="59"/>
  <c r="H69" i="59"/>
  <c r="D69" i="59"/>
  <c r="N66" i="59"/>
  <c r="N65" i="59"/>
  <c r="N62" i="59"/>
  <c r="K61" i="59"/>
  <c r="G61" i="59"/>
  <c r="E61" i="59"/>
  <c r="C61" i="59"/>
  <c r="N58" i="59"/>
  <c r="N57" i="59"/>
  <c r="M56" i="59"/>
  <c r="K56" i="59"/>
  <c r="G56" i="59"/>
  <c r="E56" i="59"/>
  <c r="C56" i="59"/>
  <c r="L61" i="59"/>
  <c r="K69" i="59"/>
  <c r="K71" i="59" s="1"/>
  <c r="K73" i="59" s="1"/>
  <c r="J70" i="59"/>
  <c r="H61" i="59"/>
  <c r="G69" i="59"/>
  <c r="G71" i="59" s="1"/>
  <c r="G73" i="59" s="1"/>
  <c r="F70" i="59"/>
  <c r="D61" i="59"/>
  <c r="C69" i="59"/>
  <c r="C71" i="59" s="1"/>
  <c r="C73" i="59" s="1"/>
  <c r="B70" i="59"/>
  <c r="C30" i="59"/>
  <c r="D30" i="59"/>
  <c r="E30" i="59"/>
  <c r="F30" i="59"/>
  <c r="F36" i="59" s="1"/>
  <c r="G30" i="59"/>
  <c r="H30" i="59"/>
  <c r="H45" i="59" s="1"/>
  <c r="I30" i="59"/>
  <c r="J30" i="59"/>
  <c r="J44" i="59" s="1"/>
  <c r="K30" i="59"/>
  <c r="L30" i="59"/>
  <c r="M30" i="59"/>
  <c r="B30" i="59"/>
  <c r="B44" i="59" s="1"/>
  <c r="N47" i="59"/>
  <c r="M45" i="59"/>
  <c r="L45" i="59"/>
  <c r="I45" i="59"/>
  <c r="E45" i="59"/>
  <c r="D45" i="59"/>
  <c r="M44" i="59"/>
  <c r="M46" i="59" s="1"/>
  <c r="M48" i="59" s="1"/>
  <c r="I44" i="59"/>
  <c r="E44" i="59"/>
  <c r="E46" i="59" s="1"/>
  <c r="E48" i="59" s="1"/>
  <c r="N41" i="59"/>
  <c r="N40" i="59"/>
  <c r="N37" i="59"/>
  <c r="J36" i="59"/>
  <c r="N33" i="59"/>
  <c r="N32" i="59"/>
  <c r="J31" i="59"/>
  <c r="B31" i="59"/>
  <c r="M35" i="59"/>
  <c r="L36" i="59"/>
  <c r="K44" i="59"/>
  <c r="I35" i="59"/>
  <c r="H36" i="59"/>
  <c r="G44" i="59"/>
  <c r="E35" i="59"/>
  <c r="D36" i="59"/>
  <c r="C44" i="59"/>
  <c r="B45" i="59"/>
  <c r="N13" i="59"/>
  <c r="N11" i="59"/>
  <c r="N12" i="59"/>
  <c r="N15" i="59"/>
  <c r="N16" i="59"/>
  <c r="N19" i="59"/>
  <c r="N20" i="59"/>
  <c r="N21" i="59"/>
  <c r="N22" i="59"/>
  <c r="N23" i="59"/>
  <c r="N25" i="59"/>
  <c r="N10" i="59"/>
  <c r="C25" i="59"/>
  <c r="D25" i="59"/>
  <c r="E25" i="59"/>
  <c r="F25" i="59"/>
  <c r="G25" i="59"/>
  <c r="H25" i="59"/>
  <c r="I25" i="59"/>
  <c r="J25" i="59"/>
  <c r="K25" i="59"/>
  <c r="L25" i="59"/>
  <c r="M25" i="59"/>
  <c r="B25" i="59"/>
  <c r="C23" i="59"/>
  <c r="D23" i="59"/>
  <c r="E23" i="59"/>
  <c r="F23" i="59"/>
  <c r="G23" i="59"/>
  <c r="H23" i="59"/>
  <c r="I23" i="59"/>
  <c r="J23" i="59"/>
  <c r="K23" i="59"/>
  <c r="L23" i="59"/>
  <c r="M23" i="59"/>
  <c r="B23" i="59"/>
  <c r="C21" i="59"/>
  <c r="D21" i="59"/>
  <c r="E21" i="59"/>
  <c r="F21" i="59"/>
  <c r="G21" i="59"/>
  <c r="H21" i="59"/>
  <c r="I21" i="59"/>
  <c r="J21" i="59"/>
  <c r="K21" i="59"/>
  <c r="L21" i="59"/>
  <c r="M21" i="59"/>
  <c r="B21" i="59"/>
  <c r="C20" i="59"/>
  <c r="D20" i="59"/>
  <c r="E20" i="59"/>
  <c r="F20" i="59"/>
  <c r="G20" i="59"/>
  <c r="H20" i="59"/>
  <c r="I20" i="59"/>
  <c r="J20" i="59"/>
  <c r="K20" i="59"/>
  <c r="L20" i="59"/>
  <c r="M20" i="59"/>
  <c r="B20" i="59"/>
  <c r="C19" i="59"/>
  <c r="D19" i="59"/>
  <c r="E19" i="59"/>
  <c r="F19" i="59"/>
  <c r="G19" i="59"/>
  <c r="H19" i="59"/>
  <c r="I19" i="59"/>
  <c r="J19" i="59"/>
  <c r="K19" i="59"/>
  <c r="L19" i="59"/>
  <c r="M19" i="59"/>
  <c r="B19" i="59"/>
  <c r="C13" i="59"/>
  <c r="D13" i="59"/>
  <c r="E13" i="59"/>
  <c r="F13" i="59"/>
  <c r="G13" i="59"/>
  <c r="H13" i="59"/>
  <c r="I13" i="59"/>
  <c r="J13" i="59"/>
  <c r="K13" i="59"/>
  <c r="L13" i="59"/>
  <c r="M13" i="59"/>
  <c r="B13" i="59"/>
  <c r="C11" i="59"/>
  <c r="D11" i="59"/>
  <c r="E11" i="59"/>
  <c r="F11" i="59"/>
  <c r="G11" i="59"/>
  <c r="H11" i="59"/>
  <c r="I11" i="59"/>
  <c r="J11" i="59"/>
  <c r="K11" i="59"/>
  <c r="L11" i="59"/>
  <c r="M11" i="59"/>
  <c r="B11" i="59"/>
  <c r="C10" i="59"/>
  <c r="D10" i="59"/>
  <c r="E10" i="59"/>
  <c r="F10" i="59"/>
  <c r="G10" i="59"/>
  <c r="H10" i="59"/>
  <c r="I10" i="59"/>
  <c r="J10" i="59"/>
  <c r="K10" i="59"/>
  <c r="L10" i="59"/>
  <c r="M10" i="59"/>
  <c r="B10" i="59"/>
  <c r="B32" i="58"/>
  <c r="N6" i="59"/>
  <c r="N7" i="59"/>
  <c r="N8" i="59"/>
  <c r="N5" i="59"/>
  <c r="C6" i="59"/>
  <c r="D6" i="59"/>
  <c r="E6" i="59"/>
  <c r="F6" i="59"/>
  <c r="G6" i="59"/>
  <c r="H6" i="59"/>
  <c r="I6" i="59"/>
  <c r="J6" i="59"/>
  <c r="K6" i="59"/>
  <c r="L6" i="59"/>
  <c r="M6" i="59"/>
  <c r="B6" i="59"/>
  <c r="M5" i="59"/>
  <c r="L5" i="59"/>
  <c r="K5" i="59"/>
  <c r="J5" i="59"/>
  <c r="I5" i="59"/>
  <c r="H5" i="59"/>
  <c r="G5" i="59"/>
  <c r="F5" i="59"/>
  <c r="E5" i="59"/>
  <c r="D5" i="59"/>
  <c r="C5" i="59"/>
  <c r="B5" i="59"/>
  <c r="B24" i="58"/>
  <c r="B18" i="58"/>
  <c r="B19" i="58"/>
  <c r="B20" i="58"/>
  <c r="B21" i="58"/>
  <c r="B22" i="58"/>
  <c r="B23" i="58"/>
  <c r="B25" i="58"/>
  <c r="B26" i="58"/>
  <c r="B27" i="58"/>
  <c r="B28" i="58"/>
  <c r="B17" i="58"/>
  <c r="B29" i="59"/>
  <c r="C29" i="59"/>
  <c r="D29" i="59"/>
  <c r="E29" i="59"/>
  <c r="F29" i="59"/>
  <c r="G29" i="59"/>
  <c r="H29" i="59"/>
  <c r="I29" i="59"/>
  <c r="J29" i="59"/>
  <c r="K29" i="59"/>
  <c r="L29" i="59"/>
  <c r="M29" i="59"/>
  <c r="B54" i="59"/>
  <c r="C54" i="59"/>
  <c r="D54" i="59"/>
  <c r="E54" i="59"/>
  <c r="F54" i="59"/>
  <c r="G54" i="59"/>
  <c r="H54" i="59"/>
  <c r="I54" i="59"/>
  <c r="J54" i="59"/>
  <c r="K54" i="59"/>
  <c r="L54" i="59"/>
  <c r="M54" i="59"/>
  <c r="B30" i="53"/>
  <c r="D22" i="53"/>
  <c r="M5" i="53"/>
  <c r="L5" i="53"/>
  <c r="K5" i="53"/>
  <c r="J5" i="53"/>
  <c r="J8" i="53" s="1"/>
  <c r="J22" i="53" s="1"/>
  <c r="I5" i="53"/>
  <c r="I30" i="53" s="1"/>
  <c r="I32" i="53" s="1"/>
  <c r="I37" i="53" s="1"/>
  <c r="H5" i="53"/>
  <c r="G5" i="53"/>
  <c r="F5" i="53"/>
  <c r="E5" i="53"/>
  <c r="D5" i="53"/>
  <c r="C5" i="53"/>
  <c r="B5" i="53"/>
  <c r="B7" i="53" s="1"/>
  <c r="B12" i="53" s="1"/>
  <c r="E2" i="53"/>
  <c r="N5" i="53"/>
  <c r="C6" i="53"/>
  <c r="B6" i="53"/>
  <c r="B5" i="52"/>
  <c r="L30" i="53"/>
  <c r="L32" i="53" s="1"/>
  <c r="L37" i="53" s="1"/>
  <c r="H6" i="53"/>
  <c r="H10" i="53" s="1"/>
  <c r="G8" i="53"/>
  <c r="G22" i="53" s="1"/>
  <c r="K55" i="53"/>
  <c r="K58" i="53" s="1"/>
  <c r="K72" i="53" s="1"/>
  <c r="F8" i="53"/>
  <c r="F22" i="53" s="1"/>
  <c r="E55" i="53"/>
  <c r="E58" i="53" s="1"/>
  <c r="E72" i="53" s="1"/>
  <c r="D55" i="53"/>
  <c r="B6" i="52"/>
  <c r="N6" i="52" s="1"/>
  <c r="B7" i="52"/>
  <c r="N7" i="52" s="1"/>
  <c r="M6" i="53"/>
  <c r="C11" i="53"/>
  <c r="L6" i="53"/>
  <c r="L10" i="53" s="1"/>
  <c r="H30" i="52"/>
  <c r="I6" i="53"/>
  <c r="D6" i="53"/>
  <c r="D10" i="53" s="1"/>
  <c r="K6" i="53"/>
  <c r="K10" i="53" s="1"/>
  <c r="C7" i="53"/>
  <c r="C12" i="53" s="1"/>
  <c r="G7" i="53"/>
  <c r="G12" i="53" s="1"/>
  <c r="C8" i="53"/>
  <c r="C22" i="53" s="1"/>
  <c r="K8" i="53"/>
  <c r="K22" i="53" s="1"/>
  <c r="B15" i="53"/>
  <c r="C15" i="53"/>
  <c r="D15" i="53"/>
  <c r="N15" i="53" s="1"/>
  <c r="E15" i="53"/>
  <c r="F15" i="53"/>
  <c r="G15" i="53"/>
  <c r="H15" i="53"/>
  <c r="I15" i="53"/>
  <c r="J15" i="53"/>
  <c r="K15" i="53"/>
  <c r="L15" i="53"/>
  <c r="M15" i="53"/>
  <c r="B16" i="53"/>
  <c r="C16" i="53"/>
  <c r="N16" i="53" s="1"/>
  <c r="D16" i="53"/>
  <c r="E16" i="53"/>
  <c r="F16" i="53"/>
  <c r="G16" i="53"/>
  <c r="H16" i="53"/>
  <c r="I16" i="53"/>
  <c r="J16" i="53"/>
  <c r="K16" i="53"/>
  <c r="L16" i="53"/>
  <c r="M16" i="53"/>
  <c r="B19" i="53"/>
  <c r="C19" i="53"/>
  <c r="C21" i="53" s="1"/>
  <c r="D19" i="53"/>
  <c r="E19" i="53"/>
  <c r="F19" i="53"/>
  <c r="G19" i="53"/>
  <c r="G21" i="53" s="1"/>
  <c r="H19" i="53"/>
  <c r="I19" i="53"/>
  <c r="J19" i="53"/>
  <c r="K19" i="53"/>
  <c r="K21" i="53" s="1"/>
  <c r="L19" i="53"/>
  <c r="M19" i="53"/>
  <c r="B20" i="53"/>
  <c r="B21" i="53" s="1"/>
  <c r="C20" i="53"/>
  <c r="D20" i="53"/>
  <c r="E20" i="53"/>
  <c r="F20" i="53"/>
  <c r="F21" i="53" s="1"/>
  <c r="G20" i="53"/>
  <c r="H20" i="53"/>
  <c r="I20" i="53"/>
  <c r="J20" i="53"/>
  <c r="J21" i="53" s="1"/>
  <c r="K20" i="53"/>
  <c r="L20" i="53"/>
  <c r="M20" i="53"/>
  <c r="N20" i="53"/>
  <c r="D21" i="53"/>
  <c r="E21" i="53"/>
  <c r="H21" i="53"/>
  <c r="I21" i="53"/>
  <c r="L21" i="53"/>
  <c r="M21" i="53"/>
  <c r="C55" i="53"/>
  <c r="C58" i="53" s="1"/>
  <c r="C72" i="53" s="1"/>
  <c r="G55" i="53"/>
  <c r="G57" i="53" s="1"/>
  <c r="G62" i="53" s="1"/>
  <c r="H55" i="53"/>
  <c r="H57" i="53" s="1"/>
  <c r="H62" i="53" s="1"/>
  <c r="J71" i="53"/>
  <c r="F71" i="53"/>
  <c r="B71" i="53"/>
  <c r="M70" i="53"/>
  <c r="L70" i="53"/>
  <c r="K70" i="53"/>
  <c r="J70" i="53"/>
  <c r="I70" i="53"/>
  <c r="H70" i="53"/>
  <c r="G70" i="53"/>
  <c r="F70" i="53"/>
  <c r="E70" i="53"/>
  <c r="D70" i="53"/>
  <c r="C70" i="53"/>
  <c r="B70" i="53"/>
  <c r="N70" i="53" s="1"/>
  <c r="M69" i="53"/>
  <c r="M71" i="53" s="1"/>
  <c r="L69" i="53"/>
  <c r="L71" i="53" s="1"/>
  <c r="K69" i="53"/>
  <c r="K71" i="53" s="1"/>
  <c r="J69" i="53"/>
  <c r="I69" i="53"/>
  <c r="I71" i="53" s="1"/>
  <c r="H69" i="53"/>
  <c r="H71" i="53" s="1"/>
  <c r="G69" i="53"/>
  <c r="G71" i="53" s="1"/>
  <c r="F69" i="53"/>
  <c r="E69" i="53"/>
  <c r="E71" i="53" s="1"/>
  <c r="D69" i="53"/>
  <c r="D71" i="53" s="1"/>
  <c r="C69" i="53"/>
  <c r="C71" i="53" s="1"/>
  <c r="B69" i="53"/>
  <c r="N69" i="53" s="1"/>
  <c r="M66" i="53"/>
  <c r="L66" i="53"/>
  <c r="K66" i="53"/>
  <c r="J66" i="53"/>
  <c r="I66" i="53"/>
  <c r="H66" i="53"/>
  <c r="G66" i="53"/>
  <c r="F66" i="53"/>
  <c r="E66" i="53"/>
  <c r="D66" i="53"/>
  <c r="C66" i="53"/>
  <c r="B66" i="53"/>
  <c r="M65" i="53"/>
  <c r="L65" i="53"/>
  <c r="K65" i="53"/>
  <c r="J65" i="53"/>
  <c r="I65" i="53"/>
  <c r="H65" i="53"/>
  <c r="G65" i="53"/>
  <c r="F65" i="53"/>
  <c r="E65" i="53"/>
  <c r="D65" i="53"/>
  <c r="C65" i="53"/>
  <c r="B65" i="53"/>
  <c r="N65" i="53" s="1"/>
  <c r="C30" i="53"/>
  <c r="C32" i="53" s="1"/>
  <c r="C37" i="53" s="1"/>
  <c r="D30" i="53"/>
  <c r="D32" i="53" s="1"/>
  <c r="D37" i="53" s="1"/>
  <c r="G30" i="53"/>
  <c r="G33" i="53" s="1"/>
  <c r="G47" i="53" s="1"/>
  <c r="H30" i="53"/>
  <c r="H32" i="53" s="1"/>
  <c r="H37" i="53" s="1"/>
  <c r="K30" i="53"/>
  <c r="K33" i="53" s="1"/>
  <c r="K47" i="53" s="1"/>
  <c r="J46" i="53"/>
  <c r="F46" i="53"/>
  <c r="B46" i="53"/>
  <c r="M45" i="53"/>
  <c r="L45" i="53"/>
  <c r="K45" i="53"/>
  <c r="K46" i="53" s="1"/>
  <c r="J45" i="53"/>
  <c r="I45" i="53"/>
  <c r="H45" i="53"/>
  <c r="G45" i="53"/>
  <c r="G46" i="53" s="1"/>
  <c r="F45" i="53"/>
  <c r="E45" i="53"/>
  <c r="D45" i="53"/>
  <c r="C45" i="53"/>
  <c r="C46" i="53" s="1"/>
  <c r="B45" i="53"/>
  <c r="N45" i="53" s="1"/>
  <c r="M44" i="53"/>
  <c r="M46" i="53" s="1"/>
  <c r="L44" i="53"/>
  <c r="L46" i="53" s="1"/>
  <c r="K44" i="53"/>
  <c r="J44" i="53"/>
  <c r="I44" i="53"/>
  <c r="I46" i="53" s="1"/>
  <c r="H44" i="53"/>
  <c r="H46" i="53" s="1"/>
  <c r="G44" i="53"/>
  <c r="F44" i="53"/>
  <c r="E44" i="53"/>
  <c r="E46" i="53" s="1"/>
  <c r="D44" i="53"/>
  <c r="D46" i="53" s="1"/>
  <c r="C44" i="53"/>
  <c r="B44" i="53"/>
  <c r="N44" i="53" s="1"/>
  <c r="M41" i="53"/>
  <c r="L41" i="53"/>
  <c r="K41" i="53"/>
  <c r="J41" i="53"/>
  <c r="I41" i="53"/>
  <c r="H41" i="53"/>
  <c r="G41" i="53"/>
  <c r="F41" i="53"/>
  <c r="E41" i="53"/>
  <c r="D41" i="53"/>
  <c r="C41" i="53"/>
  <c r="B41" i="53"/>
  <c r="M40" i="53"/>
  <c r="L40" i="53"/>
  <c r="K40" i="53"/>
  <c r="J40" i="53"/>
  <c r="I40" i="53"/>
  <c r="H40" i="53"/>
  <c r="G40" i="53"/>
  <c r="F40" i="53"/>
  <c r="E40" i="53"/>
  <c r="D40" i="53"/>
  <c r="C40" i="53"/>
  <c r="B40" i="53"/>
  <c r="N40" i="53" s="1"/>
  <c r="C55" i="52"/>
  <c r="D55" i="52"/>
  <c r="E55" i="52"/>
  <c r="F55" i="52"/>
  <c r="G55" i="52"/>
  <c r="H55" i="52"/>
  <c r="I55" i="52"/>
  <c r="J55" i="52"/>
  <c r="K55" i="52"/>
  <c r="L55" i="52"/>
  <c r="M55" i="52"/>
  <c r="B55" i="52"/>
  <c r="B58" i="52" s="1"/>
  <c r="L71" i="52"/>
  <c r="H71" i="52"/>
  <c r="D71" i="52"/>
  <c r="M70" i="52"/>
  <c r="L70" i="52"/>
  <c r="K70" i="52"/>
  <c r="J70" i="52"/>
  <c r="I70" i="52"/>
  <c r="H70" i="52"/>
  <c r="G70" i="52"/>
  <c r="F70" i="52"/>
  <c r="E70" i="52"/>
  <c r="D70" i="52"/>
  <c r="C70" i="52"/>
  <c r="B70" i="52"/>
  <c r="N70" i="52" s="1"/>
  <c r="M69" i="52"/>
  <c r="M71" i="52" s="1"/>
  <c r="L69" i="52"/>
  <c r="K69" i="52"/>
  <c r="K71" i="52" s="1"/>
  <c r="J69" i="52"/>
  <c r="J71" i="52" s="1"/>
  <c r="I69" i="52"/>
  <c r="I71" i="52" s="1"/>
  <c r="I73" i="52" s="1"/>
  <c r="H69" i="52"/>
  <c r="G69" i="52"/>
  <c r="G71" i="52" s="1"/>
  <c r="F69" i="52"/>
  <c r="F71" i="52" s="1"/>
  <c r="E69" i="52"/>
  <c r="E71" i="52" s="1"/>
  <c r="D69" i="52"/>
  <c r="C69" i="52"/>
  <c r="C71" i="52" s="1"/>
  <c r="B69" i="52"/>
  <c r="B71" i="52" s="1"/>
  <c r="N66" i="52"/>
  <c r="N65" i="52"/>
  <c r="M58" i="52"/>
  <c r="M72" i="52" s="1"/>
  <c r="I58" i="52"/>
  <c r="I72" i="52" s="1"/>
  <c r="E58" i="52"/>
  <c r="E72" i="52" s="1"/>
  <c r="J57" i="52"/>
  <c r="J62" i="52" s="1"/>
  <c r="F57" i="52"/>
  <c r="F62" i="52" s="1"/>
  <c r="K56" i="52"/>
  <c r="K60" i="52" s="1"/>
  <c r="G56" i="52"/>
  <c r="G61" i="52" s="1"/>
  <c r="C56" i="52"/>
  <c r="C60" i="52" s="1"/>
  <c r="M57" i="52"/>
  <c r="M62" i="52" s="1"/>
  <c r="L56" i="52"/>
  <c r="K57" i="52"/>
  <c r="K62" i="52" s="1"/>
  <c r="J58" i="52"/>
  <c r="J72" i="52" s="1"/>
  <c r="I57" i="52"/>
  <c r="I62" i="52" s="1"/>
  <c r="H56" i="52"/>
  <c r="G57" i="52"/>
  <c r="G62" i="52" s="1"/>
  <c r="F58" i="52"/>
  <c r="F72" i="52" s="1"/>
  <c r="E57" i="52"/>
  <c r="E62" i="52" s="1"/>
  <c r="D56" i="52"/>
  <c r="C57" i="52"/>
  <c r="C62" i="52" s="1"/>
  <c r="B30" i="52"/>
  <c r="B31" i="52" s="1"/>
  <c r="C30" i="52"/>
  <c r="D30" i="52"/>
  <c r="D33" i="52" s="1"/>
  <c r="D47" i="52" s="1"/>
  <c r="E30" i="52"/>
  <c r="F30" i="52"/>
  <c r="F31" i="52" s="1"/>
  <c r="F35" i="52" s="1"/>
  <c r="G30" i="52"/>
  <c r="I30" i="52"/>
  <c r="J30" i="52"/>
  <c r="J31" i="52" s="1"/>
  <c r="J36" i="52" s="1"/>
  <c r="K30" i="52"/>
  <c r="L30" i="52"/>
  <c r="M30" i="52"/>
  <c r="K46" i="52"/>
  <c r="G46" i="52"/>
  <c r="C46" i="52"/>
  <c r="M45" i="52"/>
  <c r="L45" i="52"/>
  <c r="K45" i="52"/>
  <c r="J45" i="52"/>
  <c r="I45" i="52"/>
  <c r="H45" i="52"/>
  <c r="G45" i="52"/>
  <c r="F45" i="52"/>
  <c r="E45" i="52"/>
  <c r="D45" i="52"/>
  <c r="C45" i="52"/>
  <c r="B45" i="52"/>
  <c r="N45" i="52" s="1"/>
  <c r="M44" i="52"/>
  <c r="M46" i="52" s="1"/>
  <c r="L44" i="52"/>
  <c r="L46" i="52" s="1"/>
  <c r="K44" i="52"/>
  <c r="J44" i="52"/>
  <c r="J46" i="52" s="1"/>
  <c r="I44" i="52"/>
  <c r="I46" i="52" s="1"/>
  <c r="H44" i="52"/>
  <c r="H46" i="52" s="1"/>
  <c r="G44" i="52"/>
  <c r="F44" i="52"/>
  <c r="F46" i="52" s="1"/>
  <c r="E44" i="52"/>
  <c r="E46" i="52" s="1"/>
  <c r="D44" i="52"/>
  <c r="D46" i="52" s="1"/>
  <c r="C44" i="52"/>
  <c r="B44" i="52"/>
  <c r="N44" i="52" s="1"/>
  <c r="N41" i="52"/>
  <c r="N40" i="52"/>
  <c r="L33" i="52"/>
  <c r="L47" i="52" s="1"/>
  <c r="H33" i="52"/>
  <c r="H47" i="52" s="1"/>
  <c r="M32" i="52"/>
  <c r="M37" i="52" s="1"/>
  <c r="I32" i="52"/>
  <c r="I37" i="52" s="1"/>
  <c r="E32" i="52"/>
  <c r="E37" i="52" s="1"/>
  <c r="M33" i="52"/>
  <c r="M47" i="52" s="1"/>
  <c r="L31" i="52"/>
  <c r="K32" i="52"/>
  <c r="K37" i="52" s="1"/>
  <c r="I33" i="52"/>
  <c r="I47" i="52" s="1"/>
  <c r="H31" i="52"/>
  <c r="G32" i="52"/>
  <c r="G37" i="52" s="1"/>
  <c r="E33" i="52"/>
  <c r="E47" i="52" s="1"/>
  <c r="D31" i="52"/>
  <c r="C32" i="52"/>
  <c r="C37" i="52" s="1"/>
  <c r="C20" i="52"/>
  <c r="D20" i="52"/>
  <c r="E20" i="52"/>
  <c r="F20" i="52"/>
  <c r="G20" i="52"/>
  <c r="H20" i="52"/>
  <c r="I20" i="52"/>
  <c r="J20" i="52"/>
  <c r="K20" i="52"/>
  <c r="L20" i="52"/>
  <c r="L21" i="52" s="1"/>
  <c r="L23" i="52" s="1"/>
  <c r="L25" i="52" s="1"/>
  <c r="M20" i="52"/>
  <c r="B20" i="52"/>
  <c r="N20" i="52" s="1"/>
  <c r="C19" i="52"/>
  <c r="D19" i="52"/>
  <c r="E19" i="52"/>
  <c r="F19" i="52"/>
  <c r="F21" i="52" s="1"/>
  <c r="F23" i="52" s="1"/>
  <c r="F25" i="52" s="1"/>
  <c r="G19" i="52"/>
  <c r="H19" i="52"/>
  <c r="I19" i="52"/>
  <c r="I21" i="52" s="1"/>
  <c r="I23" i="52" s="1"/>
  <c r="I25" i="52" s="1"/>
  <c r="J19" i="52"/>
  <c r="J21" i="52" s="1"/>
  <c r="J23" i="52" s="1"/>
  <c r="J25" i="52" s="1"/>
  <c r="K19" i="52"/>
  <c r="L19" i="52"/>
  <c r="M19" i="52"/>
  <c r="M21" i="52" s="1"/>
  <c r="M23" i="52" s="1"/>
  <c r="M25" i="52" s="1"/>
  <c r="B19" i="52"/>
  <c r="N19" i="52" s="1"/>
  <c r="D6" i="52"/>
  <c r="N16" i="52"/>
  <c r="N15" i="52"/>
  <c r="C22" i="52"/>
  <c r="D22" i="52"/>
  <c r="E22" i="52"/>
  <c r="F22" i="52"/>
  <c r="G22" i="52"/>
  <c r="H22" i="52"/>
  <c r="I22" i="52"/>
  <c r="J22" i="52"/>
  <c r="K22" i="52"/>
  <c r="L22" i="52"/>
  <c r="M22" i="52"/>
  <c r="C21" i="52"/>
  <c r="C23" i="52" s="1"/>
  <c r="C25" i="52" s="1"/>
  <c r="G21" i="52"/>
  <c r="G23" i="52" s="1"/>
  <c r="G25" i="52" s="1"/>
  <c r="H21" i="52"/>
  <c r="H23" i="52" s="1"/>
  <c r="H25" i="52" s="1"/>
  <c r="K21" i="52"/>
  <c r="K23" i="52" s="1"/>
  <c r="K25" i="52" s="1"/>
  <c r="C13" i="52"/>
  <c r="E13" i="52"/>
  <c r="F13" i="52"/>
  <c r="G13" i="52"/>
  <c r="H13" i="52"/>
  <c r="I13" i="52"/>
  <c r="J13" i="52"/>
  <c r="K13" i="52"/>
  <c r="L13" i="52"/>
  <c r="M13" i="52"/>
  <c r="C12" i="52"/>
  <c r="D12" i="52"/>
  <c r="E12" i="52"/>
  <c r="F12" i="52"/>
  <c r="G12" i="52"/>
  <c r="H12" i="52"/>
  <c r="I12" i="52"/>
  <c r="J12" i="52"/>
  <c r="K12" i="52"/>
  <c r="L12" i="52"/>
  <c r="M12" i="52"/>
  <c r="C11" i="52"/>
  <c r="D11" i="52"/>
  <c r="E11" i="52"/>
  <c r="F11" i="52"/>
  <c r="G11" i="52"/>
  <c r="H11" i="52"/>
  <c r="I11" i="52"/>
  <c r="J11" i="52"/>
  <c r="K11" i="52"/>
  <c r="L11" i="52"/>
  <c r="M11" i="52"/>
  <c r="C10" i="52"/>
  <c r="D10" i="52"/>
  <c r="E10" i="52"/>
  <c r="F10" i="52"/>
  <c r="G10" i="52"/>
  <c r="H10" i="52"/>
  <c r="I10" i="52"/>
  <c r="J10" i="52"/>
  <c r="K10" i="52"/>
  <c r="L10" i="52"/>
  <c r="M10" i="52"/>
  <c r="C8" i="52"/>
  <c r="D8" i="52"/>
  <c r="E8" i="52"/>
  <c r="F8" i="52"/>
  <c r="G8" i="52"/>
  <c r="H8" i="52"/>
  <c r="I8" i="52"/>
  <c r="J8" i="52"/>
  <c r="K8" i="52"/>
  <c r="L8" i="52"/>
  <c r="M8" i="52"/>
  <c r="B8" i="52"/>
  <c r="N8" i="52" s="1"/>
  <c r="C7" i="52"/>
  <c r="D7" i="52"/>
  <c r="E7" i="52"/>
  <c r="F7" i="52"/>
  <c r="G7" i="52"/>
  <c r="H7" i="52"/>
  <c r="I7" i="52"/>
  <c r="J7" i="52"/>
  <c r="K7" i="52"/>
  <c r="L7" i="52"/>
  <c r="M7" i="52"/>
  <c r="C6" i="52"/>
  <c r="E6" i="52"/>
  <c r="F6" i="52"/>
  <c r="G6" i="52"/>
  <c r="H6" i="52"/>
  <c r="I6" i="52"/>
  <c r="J6" i="52"/>
  <c r="K6" i="52"/>
  <c r="L6" i="52"/>
  <c r="M6" i="52"/>
  <c r="N5" i="52"/>
  <c r="M5" i="52"/>
  <c r="L5" i="52"/>
  <c r="K5" i="52"/>
  <c r="J5" i="52"/>
  <c r="I5" i="52"/>
  <c r="H5" i="52"/>
  <c r="G5" i="52"/>
  <c r="F5" i="52"/>
  <c r="E5" i="52"/>
  <c r="D5" i="52"/>
  <c r="C5" i="52"/>
  <c r="H40" i="51"/>
  <c r="I40" i="51" s="1"/>
  <c r="H39" i="51"/>
  <c r="I39" i="51" s="1"/>
  <c r="H41" i="51"/>
  <c r="I41" i="51" s="1"/>
  <c r="H42" i="51"/>
  <c r="I42" i="51" s="1"/>
  <c r="H43" i="51"/>
  <c r="I43" i="51" s="1"/>
  <c r="H44" i="51"/>
  <c r="I44" i="51" s="1"/>
  <c r="H45" i="51"/>
  <c r="I45" i="51" s="1"/>
  <c r="H46" i="51"/>
  <c r="I46" i="51" s="1"/>
  <c r="H47" i="51"/>
  <c r="I47" i="51" s="1"/>
  <c r="H48" i="51"/>
  <c r="I48" i="51" s="1"/>
  <c r="H49" i="51"/>
  <c r="I49" i="51" s="1"/>
  <c r="H38" i="51"/>
  <c r="I38" i="51" s="1"/>
  <c r="M61" i="59" l="1"/>
  <c r="M63" i="59" s="1"/>
  <c r="I60" i="59"/>
  <c r="I63" i="59" s="1"/>
  <c r="I56" i="59"/>
  <c r="L71" i="59"/>
  <c r="L73" i="59" s="1"/>
  <c r="N55" i="59"/>
  <c r="B60" i="59"/>
  <c r="J60" i="59"/>
  <c r="B56" i="59"/>
  <c r="F56" i="59"/>
  <c r="J56" i="59"/>
  <c r="C60" i="59"/>
  <c r="C63" i="59" s="1"/>
  <c r="C75" i="59" s="1"/>
  <c r="G60" i="59"/>
  <c r="G63" i="59" s="1"/>
  <c r="G75" i="59" s="1"/>
  <c r="K60" i="59"/>
  <c r="K63" i="59" s="1"/>
  <c r="K75" i="59" s="1"/>
  <c r="B61" i="59"/>
  <c r="F61" i="59"/>
  <c r="J61" i="59"/>
  <c r="E69" i="59"/>
  <c r="I69" i="59"/>
  <c r="M69" i="59"/>
  <c r="D70" i="59"/>
  <c r="H70" i="59"/>
  <c r="H71" i="59" s="1"/>
  <c r="H73" i="59" s="1"/>
  <c r="L70" i="59"/>
  <c r="D60" i="59"/>
  <c r="D63" i="59" s="1"/>
  <c r="H60" i="59"/>
  <c r="H63" i="59" s="1"/>
  <c r="L60" i="59"/>
  <c r="L63" i="59" s="1"/>
  <c r="L75" i="59" s="1"/>
  <c r="B69" i="59"/>
  <c r="F69" i="59"/>
  <c r="F71" i="59" s="1"/>
  <c r="F73" i="59" s="1"/>
  <c r="J69" i="59"/>
  <c r="J71" i="59" s="1"/>
  <c r="J73" i="59" s="1"/>
  <c r="E70" i="59"/>
  <c r="I70" i="59"/>
  <c r="M70" i="59"/>
  <c r="F60" i="59"/>
  <c r="F63" i="59" s="1"/>
  <c r="D56" i="59"/>
  <c r="H56" i="59"/>
  <c r="L56" i="59"/>
  <c r="F44" i="59"/>
  <c r="F45" i="59"/>
  <c r="J45" i="59"/>
  <c r="J46" i="59" s="1"/>
  <c r="J48" i="59" s="1"/>
  <c r="I46" i="59"/>
  <c r="I48" i="59" s="1"/>
  <c r="F31" i="59"/>
  <c r="B36" i="59"/>
  <c r="F46" i="59"/>
  <c r="F48" i="59" s="1"/>
  <c r="E38" i="59"/>
  <c r="E50" i="59" s="1"/>
  <c r="B46" i="59"/>
  <c r="G35" i="59"/>
  <c r="G31" i="59"/>
  <c r="H35" i="59"/>
  <c r="H38" i="59" s="1"/>
  <c r="C36" i="59"/>
  <c r="N30" i="59"/>
  <c r="E31" i="59"/>
  <c r="I31" i="59"/>
  <c r="M31" i="59"/>
  <c r="B35" i="59"/>
  <c r="F35" i="59"/>
  <c r="F38" i="59" s="1"/>
  <c r="F50" i="59" s="1"/>
  <c r="J35" i="59"/>
  <c r="J38" i="59" s="1"/>
  <c r="E36" i="59"/>
  <c r="I36" i="59"/>
  <c r="I38" i="59" s="1"/>
  <c r="M36" i="59"/>
  <c r="M38" i="59" s="1"/>
  <c r="M50" i="59" s="1"/>
  <c r="D44" i="59"/>
  <c r="D46" i="59" s="1"/>
  <c r="D48" i="59" s="1"/>
  <c r="H44" i="59"/>
  <c r="H46" i="59" s="1"/>
  <c r="H48" i="59" s="1"/>
  <c r="L44" i="59"/>
  <c r="L46" i="59" s="1"/>
  <c r="L48" i="59" s="1"/>
  <c r="C45" i="59"/>
  <c r="N45" i="59" s="1"/>
  <c r="G45" i="59"/>
  <c r="G46" i="59" s="1"/>
  <c r="G48" i="59" s="1"/>
  <c r="K45" i="59"/>
  <c r="K46" i="59" s="1"/>
  <c r="K48" i="59" s="1"/>
  <c r="C35" i="59"/>
  <c r="K35" i="59"/>
  <c r="K38" i="59" s="1"/>
  <c r="C31" i="59"/>
  <c r="K31" i="59"/>
  <c r="D35" i="59"/>
  <c r="D38" i="59" s="1"/>
  <c r="L35" i="59"/>
  <c r="L38" i="59" s="1"/>
  <c r="L50" i="59" s="1"/>
  <c r="G36" i="59"/>
  <c r="K36" i="59"/>
  <c r="D31" i="59"/>
  <c r="H31" i="59"/>
  <c r="L31" i="59"/>
  <c r="B10" i="53"/>
  <c r="B13" i="53" s="1"/>
  <c r="B11" i="53"/>
  <c r="B8" i="53"/>
  <c r="B22" i="53" s="1"/>
  <c r="L7" i="53"/>
  <c r="L12" i="53" s="1"/>
  <c r="K7" i="53"/>
  <c r="K12" i="53" s="1"/>
  <c r="J7" i="53"/>
  <c r="J12" i="53" s="1"/>
  <c r="G6" i="53"/>
  <c r="G10" i="53" s="1"/>
  <c r="F6" i="53"/>
  <c r="F10" i="53" s="1"/>
  <c r="E6" i="53"/>
  <c r="E10" i="53" s="1"/>
  <c r="K32" i="53"/>
  <c r="K37" i="53" s="1"/>
  <c r="B22" i="52"/>
  <c r="N22" i="52" s="1"/>
  <c r="C33" i="53"/>
  <c r="C47" i="53" s="1"/>
  <c r="H33" i="53"/>
  <c r="H47" i="53" s="1"/>
  <c r="H48" i="53" s="1"/>
  <c r="J6" i="53"/>
  <c r="J10" i="53" s="1"/>
  <c r="F7" i="53"/>
  <c r="F12" i="53" s="1"/>
  <c r="H31" i="53"/>
  <c r="H35" i="53" s="1"/>
  <c r="K23" i="53"/>
  <c r="G11" i="53"/>
  <c r="G13" i="53" s="1"/>
  <c r="D57" i="53"/>
  <c r="D62" i="53" s="1"/>
  <c r="D56" i="53"/>
  <c r="D61" i="53" s="1"/>
  <c r="D58" i="53"/>
  <c r="D72" i="53" s="1"/>
  <c r="D73" i="53" s="1"/>
  <c r="G32" i="53"/>
  <c r="G37" i="53" s="1"/>
  <c r="L55" i="53"/>
  <c r="L58" i="53" s="1"/>
  <c r="L72" i="53" s="1"/>
  <c r="L73" i="53" s="1"/>
  <c r="L8" i="53"/>
  <c r="L22" i="53" s="1"/>
  <c r="L23" i="53" s="1"/>
  <c r="H7" i="53"/>
  <c r="H12" i="53" s="1"/>
  <c r="J23" i="53"/>
  <c r="L11" i="53"/>
  <c r="K11" i="53"/>
  <c r="H11" i="53"/>
  <c r="H56" i="53"/>
  <c r="H60" i="53" s="1"/>
  <c r="G58" i="53"/>
  <c r="G72" i="53" s="1"/>
  <c r="G73" i="53" s="1"/>
  <c r="G23" i="53"/>
  <c r="F23" i="53"/>
  <c r="D11" i="53"/>
  <c r="C23" i="53"/>
  <c r="C57" i="53"/>
  <c r="C62" i="53" s="1"/>
  <c r="N21" i="53"/>
  <c r="B23" i="53"/>
  <c r="M11" i="53"/>
  <c r="M10" i="53"/>
  <c r="I11" i="53"/>
  <c r="I10" i="53"/>
  <c r="M30" i="53"/>
  <c r="E56" i="53"/>
  <c r="E60" i="53" s="1"/>
  <c r="I55" i="53"/>
  <c r="I58" i="53" s="1"/>
  <c r="I72" i="53" s="1"/>
  <c r="I73" i="53" s="1"/>
  <c r="N19" i="53"/>
  <c r="M8" i="53"/>
  <c r="M22" i="53" s="1"/>
  <c r="M23" i="53" s="1"/>
  <c r="I8" i="53"/>
  <c r="I22" i="53" s="1"/>
  <c r="I23" i="53" s="1"/>
  <c r="E8" i="53"/>
  <c r="E22" i="53" s="1"/>
  <c r="E23" i="53" s="1"/>
  <c r="D31" i="53"/>
  <c r="D35" i="53" s="1"/>
  <c r="D33" i="53"/>
  <c r="D47" i="53" s="1"/>
  <c r="D48" i="53" s="1"/>
  <c r="K57" i="53"/>
  <c r="K62" i="53" s="1"/>
  <c r="M55" i="53"/>
  <c r="M56" i="53" s="1"/>
  <c r="M60" i="53" s="1"/>
  <c r="C10" i="53"/>
  <c r="H8" i="53"/>
  <c r="H22" i="53" s="1"/>
  <c r="H23" i="53" s="1"/>
  <c r="D8" i="53"/>
  <c r="M7" i="53"/>
  <c r="M12" i="53" s="1"/>
  <c r="I7" i="53"/>
  <c r="I12" i="53" s="1"/>
  <c r="E7" i="53"/>
  <c r="E12" i="53" s="1"/>
  <c r="E30" i="53"/>
  <c r="E33" i="53" s="1"/>
  <c r="E47" i="53" s="1"/>
  <c r="E48" i="53" s="1"/>
  <c r="D7" i="53"/>
  <c r="D12" i="53" s="1"/>
  <c r="I33" i="53"/>
  <c r="I47" i="53" s="1"/>
  <c r="I48" i="53" s="1"/>
  <c r="I31" i="53"/>
  <c r="I35" i="53" s="1"/>
  <c r="B33" i="53"/>
  <c r="B47" i="53" s="1"/>
  <c r="J30" i="53"/>
  <c r="J33" i="53" s="1"/>
  <c r="J47" i="53" s="1"/>
  <c r="J48" i="53" s="1"/>
  <c r="F30" i="53"/>
  <c r="F33" i="53" s="1"/>
  <c r="F47" i="53" s="1"/>
  <c r="F48" i="53" s="1"/>
  <c r="E73" i="53"/>
  <c r="B55" i="53"/>
  <c r="B58" i="53" s="1"/>
  <c r="B72" i="53" s="1"/>
  <c r="B73" i="53" s="1"/>
  <c r="J55" i="53"/>
  <c r="J58" i="53" s="1"/>
  <c r="J72" i="53" s="1"/>
  <c r="J73" i="53" s="1"/>
  <c r="F55" i="53"/>
  <c r="F58" i="53" s="1"/>
  <c r="F72" i="53" s="1"/>
  <c r="F73" i="53" s="1"/>
  <c r="B33" i="52"/>
  <c r="B47" i="52" s="1"/>
  <c r="N47" i="52" s="1"/>
  <c r="B57" i="52"/>
  <c r="B62" i="52" s="1"/>
  <c r="C73" i="53"/>
  <c r="K73" i="53"/>
  <c r="N71" i="53"/>
  <c r="E57" i="53"/>
  <c r="E62" i="53" s="1"/>
  <c r="H58" i="53"/>
  <c r="H72" i="53" s="1"/>
  <c r="H73" i="53" s="1"/>
  <c r="N66" i="53"/>
  <c r="C56" i="53"/>
  <c r="G56" i="53"/>
  <c r="K56" i="53"/>
  <c r="L33" i="53"/>
  <c r="L47" i="53" s="1"/>
  <c r="L48" i="53" s="1"/>
  <c r="L31" i="53"/>
  <c r="L35" i="53" s="1"/>
  <c r="N46" i="53"/>
  <c r="C48" i="53"/>
  <c r="G48" i="53"/>
  <c r="K48" i="53"/>
  <c r="N41" i="53"/>
  <c r="C31" i="53"/>
  <c r="G31" i="53"/>
  <c r="K31" i="53"/>
  <c r="E73" i="52"/>
  <c r="M73" i="52"/>
  <c r="H61" i="52"/>
  <c r="H60" i="52"/>
  <c r="N71" i="52"/>
  <c r="F73" i="52"/>
  <c r="J73" i="52"/>
  <c r="D61" i="52"/>
  <c r="D60" i="52"/>
  <c r="L61" i="52"/>
  <c r="L60" i="52"/>
  <c r="B72" i="52"/>
  <c r="C61" i="52"/>
  <c r="C63" i="52" s="1"/>
  <c r="K61" i="52"/>
  <c r="K63" i="52" s="1"/>
  <c r="N69" i="52"/>
  <c r="N55" i="52"/>
  <c r="E56" i="52"/>
  <c r="I56" i="52"/>
  <c r="M56" i="52"/>
  <c r="D57" i="52"/>
  <c r="D62" i="52" s="1"/>
  <c r="H57" i="52"/>
  <c r="H62" i="52" s="1"/>
  <c r="L57" i="52"/>
  <c r="L62" i="52" s="1"/>
  <c r="C58" i="52"/>
  <c r="C72" i="52" s="1"/>
  <c r="C73" i="52" s="1"/>
  <c r="G58" i="52"/>
  <c r="G72" i="52" s="1"/>
  <c r="G73" i="52" s="1"/>
  <c r="K58" i="52"/>
  <c r="K72" i="52" s="1"/>
  <c r="K73" i="52" s="1"/>
  <c r="B56" i="52"/>
  <c r="F56" i="52"/>
  <c r="J56" i="52"/>
  <c r="D58" i="52"/>
  <c r="D72" i="52" s="1"/>
  <c r="D73" i="52" s="1"/>
  <c r="H58" i="52"/>
  <c r="H72" i="52" s="1"/>
  <c r="H73" i="52" s="1"/>
  <c r="L58" i="52"/>
  <c r="L72" i="52" s="1"/>
  <c r="L73" i="52" s="1"/>
  <c r="G60" i="52"/>
  <c r="G63" i="52" s="1"/>
  <c r="F33" i="52"/>
  <c r="F47" i="52" s="1"/>
  <c r="J33" i="52"/>
  <c r="J47" i="52" s="1"/>
  <c r="B10" i="52"/>
  <c r="N10" i="52" s="1"/>
  <c r="B11" i="52"/>
  <c r="N11" i="52" s="1"/>
  <c r="B12" i="52"/>
  <c r="N12" i="52" s="1"/>
  <c r="D36" i="52"/>
  <c r="D35" i="52"/>
  <c r="H36" i="52"/>
  <c r="H35" i="52"/>
  <c r="L36" i="52"/>
  <c r="L35" i="52"/>
  <c r="E48" i="52"/>
  <c r="I48" i="52"/>
  <c r="M48" i="52"/>
  <c r="F48" i="52"/>
  <c r="J48" i="52"/>
  <c r="D48" i="52"/>
  <c r="H48" i="52"/>
  <c r="L48" i="52"/>
  <c r="F36" i="52"/>
  <c r="N30" i="52"/>
  <c r="E31" i="52"/>
  <c r="I31" i="52"/>
  <c r="M31" i="52"/>
  <c r="D32" i="52"/>
  <c r="D37" i="52" s="1"/>
  <c r="H32" i="52"/>
  <c r="H37" i="52" s="1"/>
  <c r="L32" i="52"/>
  <c r="L37" i="52" s="1"/>
  <c r="C33" i="52"/>
  <c r="C47" i="52" s="1"/>
  <c r="C48" i="52" s="1"/>
  <c r="G33" i="52"/>
  <c r="G47" i="52" s="1"/>
  <c r="G48" i="52" s="1"/>
  <c r="K33" i="52"/>
  <c r="K47" i="52" s="1"/>
  <c r="K48" i="52" s="1"/>
  <c r="B35" i="52"/>
  <c r="J35" i="52"/>
  <c r="B46" i="52"/>
  <c r="B36" i="52"/>
  <c r="C31" i="52"/>
  <c r="G31" i="52"/>
  <c r="K31" i="52"/>
  <c r="B32" i="52"/>
  <c r="F32" i="52"/>
  <c r="F37" i="52" s="1"/>
  <c r="F38" i="52" s="1"/>
  <c r="F50" i="52" s="1"/>
  <c r="J32" i="52"/>
  <c r="J37" i="52" s="1"/>
  <c r="E21" i="52"/>
  <c r="E23" i="52" s="1"/>
  <c r="E25" i="52" s="1"/>
  <c r="D21" i="52"/>
  <c r="B21" i="52"/>
  <c r="D23" i="52"/>
  <c r="D13" i="52"/>
  <c r="I50" i="51"/>
  <c r="C55" i="51"/>
  <c r="F53" i="51"/>
  <c r="F51" i="51"/>
  <c r="E51" i="51"/>
  <c r="C53" i="51"/>
  <c r="C51" i="51"/>
  <c r="F27" i="51"/>
  <c r="F28" i="51"/>
  <c r="F29" i="51"/>
  <c r="F30" i="51"/>
  <c r="F31" i="51"/>
  <c r="F32" i="51"/>
  <c r="F33" i="51"/>
  <c r="F34" i="51"/>
  <c r="F35" i="51"/>
  <c r="F36" i="51"/>
  <c r="F37" i="51"/>
  <c r="F26" i="51"/>
  <c r="F15" i="51"/>
  <c r="F16" i="51"/>
  <c r="F17" i="51"/>
  <c r="F18" i="51"/>
  <c r="F19" i="51"/>
  <c r="F20" i="51"/>
  <c r="F21" i="51"/>
  <c r="F22" i="51"/>
  <c r="F23" i="51"/>
  <c r="F24" i="51"/>
  <c r="F25" i="51"/>
  <c r="F14" i="51"/>
  <c r="F3" i="51"/>
  <c r="F4" i="51"/>
  <c r="F5" i="51"/>
  <c r="F6" i="51"/>
  <c r="F7" i="51"/>
  <c r="F8" i="51"/>
  <c r="F9" i="51"/>
  <c r="F10" i="51"/>
  <c r="F11" i="51"/>
  <c r="F12" i="51"/>
  <c r="F13" i="51"/>
  <c r="F2" i="51"/>
  <c r="E3" i="51"/>
  <c r="E4" i="51"/>
  <c r="E5" i="51"/>
  <c r="E6" i="51"/>
  <c r="E7" i="51"/>
  <c r="E8" i="51"/>
  <c r="E9" i="51"/>
  <c r="E10" i="51"/>
  <c r="E11" i="51"/>
  <c r="E12" i="51"/>
  <c r="E13" i="51"/>
  <c r="E2" i="51"/>
  <c r="D27" i="51"/>
  <c r="D28" i="51"/>
  <c r="D29" i="51"/>
  <c r="D30" i="51"/>
  <c r="D31" i="51"/>
  <c r="D32" i="51"/>
  <c r="D33" i="51"/>
  <c r="D34" i="51"/>
  <c r="D35" i="51"/>
  <c r="D36" i="51"/>
  <c r="D37" i="51"/>
  <c r="D26" i="51"/>
  <c r="D15" i="51"/>
  <c r="D16" i="51"/>
  <c r="D17" i="51"/>
  <c r="D18" i="51"/>
  <c r="D19" i="51"/>
  <c r="D20" i="51"/>
  <c r="D21" i="51"/>
  <c r="D22" i="51"/>
  <c r="D23" i="51"/>
  <c r="D24" i="51"/>
  <c r="D25" i="51"/>
  <c r="D14" i="51"/>
  <c r="D6" i="51"/>
  <c r="D4" i="51"/>
  <c r="D3" i="51"/>
  <c r="D5" i="51"/>
  <c r="D7" i="51"/>
  <c r="D8" i="51"/>
  <c r="D9" i="51"/>
  <c r="D10" i="51"/>
  <c r="D11" i="51"/>
  <c r="D12" i="51"/>
  <c r="D13" i="51"/>
  <c r="D2" i="51"/>
  <c r="C37" i="51"/>
  <c r="C25" i="51"/>
  <c r="C13" i="51"/>
  <c r="C54" i="53"/>
  <c r="D54" i="53"/>
  <c r="E54" i="53"/>
  <c r="F54" i="53"/>
  <c r="G54" i="53"/>
  <c r="H54" i="53"/>
  <c r="I54" i="53"/>
  <c r="J54" i="53"/>
  <c r="K54" i="53"/>
  <c r="L54" i="53"/>
  <c r="M54" i="53"/>
  <c r="B54" i="53"/>
  <c r="C29" i="53"/>
  <c r="D29" i="53"/>
  <c r="E29" i="53"/>
  <c r="F29" i="53"/>
  <c r="G29" i="53"/>
  <c r="H29" i="53"/>
  <c r="I29" i="53"/>
  <c r="J29" i="53"/>
  <c r="K29" i="53"/>
  <c r="L29" i="53"/>
  <c r="M29" i="53"/>
  <c r="B29" i="53"/>
  <c r="C54" i="52"/>
  <c r="D54" i="52"/>
  <c r="E54" i="52"/>
  <c r="F54" i="52"/>
  <c r="G54" i="52"/>
  <c r="H54" i="52"/>
  <c r="I54" i="52"/>
  <c r="J54" i="52"/>
  <c r="K54" i="52"/>
  <c r="L54" i="52"/>
  <c r="M54" i="52"/>
  <c r="B54" i="52"/>
  <c r="C29" i="52"/>
  <c r="D29" i="52"/>
  <c r="E29" i="52"/>
  <c r="F29" i="52"/>
  <c r="G29" i="52"/>
  <c r="H29" i="52"/>
  <c r="I29" i="52"/>
  <c r="J29" i="52"/>
  <c r="K29" i="52"/>
  <c r="L29" i="52"/>
  <c r="M29" i="52"/>
  <c r="B29" i="52"/>
  <c r="H4" i="54"/>
  <c r="M71" i="59" l="1"/>
  <c r="M73" i="59" s="1"/>
  <c r="M75" i="59" s="1"/>
  <c r="F75" i="59"/>
  <c r="N70" i="59"/>
  <c r="H75" i="59"/>
  <c r="N56" i="59"/>
  <c r="J63" i="59"/>
  <c r="J75" i="59" s="1"/>
  <c r="D71" i="59"/>
  <c r="D73" i="59" s="1"/>
  <c r="D75" i="59" s="1"/>
  <c r="E71" i="59"/>
  <c r="E73" i="59" s="1"/>
  <c r="E75" i="59" s="1"/>
  <c r="B71" i="59"/>
  <c r="N69" i="59"/>
  <c r="I71" i="59"/>
  <c r="I73" i="59" s="1"/>
  <c r="I75" i="59" s="1"/>
  <c r="N61" i="59"/>
  <c r="B63" i="59"/>
  <c r="N60" i="59"/>
  <c r="I50" i="59"/>
  <c r="N36" i="59"/>
  <c r="N31" i="59"/>
  <c r="J50" i="59"/>
  <c r="H50" i="59"/>
  <c r="K50" i="59"/>
  <c r="B48" i="59"/>
  <c r="C46" i="59"/>
  <c r="C48" i="59" s="1"/>
  <c r="D50" i="59"/>
  <c r="C38" i="59"/>
  <c r="B38" i="59"/>
  <c r="N35" i="59"/>
  <c r="N44" i="59"/>
  <c r="G38" i="59"/>
  <c r="G50" i="59" s="1"/>
  <c r="K13" i="53"/>
  <c r="L13" i="53"/>
  <c r="N6" i="53"/>
  <c r="F11" i="53"/>
  <c r="F13" i="53" s="1"/>
  <c r="F25" i="53" s="1"/>
  <c r="E11" i="53"/>
  <c r="H36" i="53"/>
  <c r="D36" i="53"/>
  <c r="D38" i="53" s="1"/>
  <c r="D50" i="53" s="1"/>
  <c r="D60" i="53"/>
  <c r="D63" i="53" s="1"/>
  <c r="D75" i="53" s="1"/>
  <c r="K25" i="53"/>
  <c r="J32" i="53"/>
  <c r="J37" i="53" s="1"/>
  <c r="I57" i="53"/>
  <c r="I62" i="53" s="1"/>
  <c r="H61" i="53"/>
  <c r="H63" i="53" s="1"/>
  <c r="H75" i="53" s="1"/>
  <c r="H13" i="53"/>
  <c r="H25" i="53" s="1"/>
  <c r="J11" i="53"/>
  <c r="J13" i="53" s="1"/>
  <c r="J25" i="53" s="1"/>
  <c r="B25" i="53"/>
  <c r="G25" i="53"/>
  <c r="N12" i="53"/>
  <c r="F57" i="53"/>
  <c r="F62" i="53" s="1"/>
  <c r="F56" i="53"/>
  <c r="F61" i="53" s="1"/>
  <c r="L56" i="53"/>
  <c r="L57" i="53"/>
  <c r="L62" i="53" s="1"/>
  <c r="M57" i="53"/>
  <c r="M62" i="53" s="1"/>
  <c r="M61" i="53"/>
  <c r="M58" i="53"/>
  <c r="M72" i="53" s="1"/>
  <c r="M73" i="53" s="1"/>
  <c r="N73" i="53" s="1"/>
  <c r="L25" i="53"/>
  <c r="J31" i="53"/>
  <c r="J36" i="53" s="1"/>
  <c r="I56" i="53"/>
  <c r="I60" i="53" s="1"/>
  <c r="E61" i="53"/>
  <c r="E63" i="53" s="1"/>
  <c r="E75" i="53" s="1"/>
  <c r="E32" i="53"/>
  <c r="E37" i="53" s="1"/>
  <c r="B56" i="53"/>
  <c r="B60" i="53" s="1"/>
  <c r="B57" i="53"/>
  <c r="B62" i="53" s="1"/>
  <c r="F32" i="53"/>
  <c r="F37" i="53" s="1"/>
  <c r="N8" i="53"/>
  <c r="D13" i="53"/>
  <c r="F31" i="53"/>
  <c r="F36" i="53" s="1"/>
  <c r="M33" i="53"/>
  <c r="M47" i="53" s="1"/>
  <c r="M48" i="53" s="1"/>
  <c r="M31" i="53"/>
  <c r="M32" i="53"/>
  <c r="M37" i="53" s="1"/>
  <c r="N7" i="53"/>
  <c r="I13" i="53"/>
  <c r="I25" i="53" s="1"/>
  <c r="N10" i="53"/>
  <c r="C13" i="53"/>
  <c r="N55" i="53"/>
  <c r="E31" i="53"/>
  <c r="E13" i="53"/>
  <c r="E25" i="53" s="1"/>
  <c r="M13" i="53"/>
  <c r="M25" i="53" s="1"/>
  <c r="N30" i="53"/>
  <c r="B31" i="53"/>
  <c r="B35" i="53" s="1"/>
  <c r="B32" i="53"/>
  <c r="B37" i="53" s="1"/>
  <c r="J57" i="53"/>
  <c r="J62" i="53" s="1"/>
  <c r="J56" i="53"/>
  <c r="J60" i="53" s="1"/>
  <c r="I36" i="53"/>
  <c r="I38" i="53" s="1"/>
  <c r="I50" i="53" s="1"/>
  <c r="G61" i="53"/>
  <c r="G60" i="53"/>
  <c r="C61" i="53"/>
  <c r="C60" i="53"/>
  <c r="K61" i="53"/>
  <c r="K60" i="53"/>
  <c r="L36" i="53"/>
  <c r="L38" i="53" s="1"/>
  <c r="L50" i="53" s="1"/>
  <c r="H38" i="53"/>
  <c r="H50" i="53" s="1"/>
  <c r="B48" i="53"/>
  <c r="K35" i="53"/>
  <c r="K36" i="53"/>
  <c r="C36" i="53"/>
  <c r="C35" i="53"/>
  <c r="G35" i="53"/>
  <c r="G36" i="53"/>
  <c r="N62" i="52"/>
  <c r="C75" i="52"/>
  <c r="K75" i="52"/>
  <c r="D63" i="52"/>
  <c r="D75" i="52" s="1"/>
  <c r="B61" i="52"/>
  <c r="N56" i="52"/>
  <c r="B60" i="52"/>
  <c r="I60" i="52"/>
  <c r="I61" i="52"/>
  <c r="N72" i="52"/>
  <c r="H63" i="52"/>
  <c r="H75" i="52" s="1"/>
  <c r="G75" i="52"/>
  <c r="J61" i="52"/>
  <c r="J60" i="52"/>
  <c r="J63" i="52" s="1"/>
  <c r="J75" i="52" s="1"/>
  <c r="N57" i="52"/>
  <c r="L63" i="52"/>
  <c r="L75" i="52" s="1"/>
  <c r="E60" i="52"/>
  <c r="E61" i="52"/>
  <c r="N58" i="52"/>
  <c r="B73" i="52"/>
  <c r="N73" i="52" s="1"/>
  <c r="F61" i="52"/>
  <c r="F60" i="52"/>
  <c r="F63" i="52" s="1"/>
  <c r="F75" i="52" s="1"/>
  <c r="M60" i="52"/>
  <c r="M61" i="52"/>
  <c r="N31" i="52"/>
  <c r="B13" i="52"/>
  <c r="N13" i="52" s="1"/>
  <c r="B37" i="52"/>
  <c r="N37" i="52" s="1"/>
  <c r="N32" i="52"/>
  <c r="K36" i="52"/>
  <c r="K35" i="52"/>
  <c r="K38" i="52" s="1"/>
  <c r="K50" i="52" s="1"/>
  <c r="B48" i="52"/>
  <c r="N48" i="52" s="1"/>
  <c r="N46" i="52"/>
  <c r="H38" i="52"/>
  <c r="H50" i="52" s="1"/>
  <c r="E35" i="52"/>
  <c r="E36" i="52"/>
  <c r="G35" i="52"/>
  <c r="G36" i="52"/>
  <c r="J38" i="52"/>
  <c r="J50" i="52" s="1"/>
  <c r="M35" i="52"/>
  <c r="M38" i="52" s="1"/>
  <c r="M50" i="52" s="1"/>
  <c r="M36" i="52"/>
  <c r="C36" i="52"/>
  <c r="C35" i="52"/>
  <c r="I35" i="52"/>
  <c r="I38" i="52" s="1"/>
  <c r="I50" i="52" s="1"/>
  <c r="I36" i="52"/>
  <c r="L38" i="52"/>
  <c r="L50" i="52" s="1"/>
  <c r="D38" i="52"/>
  <c r="D50" i="52" s="1"/>
  <c r="N33" i="52"/>
  <c r="B23" i="52"/>
  <c r="N21" i="52"/>
  <c r="D25" i="52"/>
  <c r="N63" i="59" l="1"/>
  <c r="N71" i="59"/>
  <c r="B73" i="59"/>
  <c r="N73" i="59" s="1"/>
  <c r="B50" i="59"/>
  <c r="N38" i="59"/>
  <c r="N46" i="59"/>
  <c r="C50" i="59"/>
  <c r="N48" i="59"/>
  <c r="J35" i="53"/>
  <c r="F60" i="53"/>
  <c r="F35" i="53"/>
  <c r="F38" i="53" s="1"/>
  <c r="F50" i="53" s="1"/>
  <c r="N11" i="53"/>
  <c r="B61" i="53"/>
  <c r="B63" i="53" s="1"/>
  <c r="G63" i="53"/>
  <c r="G75" i="53" s="1"/>
  <c r="N48" i="53"/>
  <c r="M63" i="53"/>
  <c r="M75" i="53" s="1"/>
  <c r="L60" i="53"/>
  <c r="L61" i="53"/>
  <c r="I61" i="53"/>
  <c r="I63" i="53" s="1"/>
  <c r="I75" i="53" s="1"/>
  <c r="N33" i="53"/>
  <c r="N58" i="53"/>
  <c r="N72" i="53"/>
  <c r="N62" i="53"/>
  <c r="N57" i="53"/>
  <c r="B36" i="53"/>
  <c r="B38" i="53" s="1"/>
  <c r="M35" i="53"/>
  <c r="M36" i="53"/>
  <c r="C25" i="53"/>
  <c r="N13" i="53"/>
  <c r="D23" i="53"/>
  <c r="N23" i="53" s="1"/>
  <c r="N22" i="53"/>
  <c r="N37" i="53"/>
  <c r="N32" i="53"/>
  <c r="N31" i="53"/>
  <c r="E35" i="53"/>
  <c r="E36" i="53"/>
  <c r="N47" i="53"/>
  <c r="K63" i="53"/>
  <c r="K75" i="53" s="1"/>
  <c r="F63" i="53"/>
  <c r="F75" i="53" s="1"/>
  <c r="J61" i="53"/>
  <c r="J63" i="53" s="1"/>
  <c r="J75" i="53" s="1"/>
  <c r="N56" i="53"/>
  <c r="C63" i="53"/>
  <c r="C75" i="53" s="1"/>
  <c r="J38" i="53"/>
  <c r="J50" i="53" s="1"/>
  <c r="C38" i="53"/>
  <c r="C50" i="53" s="1"/>
  <c r="K38" i="53"/>
  <c r="K50" i="53" s="1"/>
  <c r="G38" i="53"/>
  <c r="G50" i="53" s="1"/>
  <c r="E63" i="52"/>
  <c r="E75" i="52" s="1"/>
  <c r="M63" i="52"/>
  <c r="M75" i="52" s="1"/>
  <c r="I63" i="52"/>
  <c r="I75" i="52" s="1"/>
  <c r="B63" i="52"/>
  <c r="N60" i="52"/>
  <c r="N61" i="52"/>
  <c r="N36" i="52"/>
  <c r="E38" i="52"/>
  <c r="E50" i="52" s="1"/>
  <c r="B38" i="52"/>
  <c r="G38" i="52"/>
  <c r="G50" i="52" s="1"/>
  <c r="N35" i="52"/>
  <c r="C38" i="52"/>
  <c r="C50" i="52" s="1"/>
  <c r="B25" i="52"/>
  <c r="N25" i="52" s="1"/>
  <c r="N23" i="52"/>
  <c r="B75" i="59" l="1"/>
  <c r="N75" i="59" s="1"/>
  <c r="N50" i="59"/>
  <c r="L63" i="53"/>
  <c r="L75" i="53" s="1"/>
  <c r="N60" i="53"/>
  <c r="E38" i="53"/>
  <c r="E50" i="53" s="1"/>
  <c r="N35" i="53"/>
  <c r="N61" i="53"/>
  <c r="N36" i="53"/>
  <c r="D25" i="53"/>
  <c r="N25" i="53" s="1"/>
  <c r="M38" i="53"/>
  <c r="M50" i="53" s="1"/>
  <c r="B75" i="53"/>
  <c r="B50" i="53"/>
  <c r="B75" i="52"/>
  <c r="N75" i="52" s="1"/>
  <c r="N63" i="52"/>
  <c r="B50" i="52"/>
  <c r="N50" i="52" s="1"/>
  <c r="N38" i="52"/>
  <c r="N75" i="53" l="1"/>
  <c r="N63" i="53"/>
  <c r="N38" i="53"/>
  <c r="N50" i="53"/>
</calcChain>
</file>

<file path=xl/sharedStrings.xml><?xml version="1.0" encoding="utf-8"?>
<sst xmlns="http://schemas.openxmlformats.org/spreadsheetml/2006/main" count="580" uniqueCount="216">
  <si>
    <t>Name</t>
  </si>
  <si>
    <t>Panther ID</t>
  </si>
  <si>
    <t>Do Not Alter or Delete this Worksheet or you submission cannot be graded!</t>
  </si>
  <si>
    <t>Action</t>
  </si>
  <si>
    <t>Date/Time</t>
  </si>
  <si>
    <t>Starter Sheet</t>
  </si>
  <si>
    <t>None</t>
  </si>
  <si>
    <t xml:space="preserve">Month </t>
  </si>
  <si>
    <t xml:space="preserve">Donut Information </t>
  </si>
  <si>
    <r>
      <t xml:space="preserve">Based on the below data, create the profit model for </t>
    </r>
    <r>
      <rPr>
        <b/>
        <i/>
        <sz val="12"/>
        <color theme="1"/>
        <rFont val="Calibri"/>
        <family val="2"/>
        <scheme val="minor"/>
      </rPr>
      <t>Donuts to Go.</t>
    </r>
  </si>
  <si>
    <t>Assume that each customer will buy one donut and one cup of coffee</t>
  </si>
  <si>
    <t xml:space="preserve"> </t>
  </si>
  <si>
    <t>Time period</t>
  </si>
  <si>
    <t>Revenue: Cup of Coffee</t>
  </si>
  <si>
    <t>Revenue: Donut</t>
  </si>
  <si>
    <t>Donut ingredients per donunt)</t>
  </si>
  <si>
    <t>Insurance</t>
  </si>
  <si>
    <t>Maintenance &amp; Repairs to equipment</t>
  </si>
  <si>
    <t>Marketing &amp; Promotion: Advertising</t>
  </si>
  <si>
    <t xml:space="preserve">Coffee </t>
  </si>
  <si>
    <t xml:space="preserve">Coffee cups </t>
  </si>
  <si>
    <t>Payroll:  Wages (Owner/ Manager)</t>
  </si>
  <si>
    <t>Payroll:  Wages (per Employees)</t>
  </si>
  <si>
    <t xml:space="preserve">Donut and Coffee equipment rent </t>
  </si>
  <si>
    <t>Professional Fees: Accounting</t>
  </si>
  <si>
    <t>Professional Fees: Legal</t>
  </si>
  <si>
    <t>Powdered and Liquid Beverages</t>
  </si>
  <si>
    <t>Rent</t>
  </si>
  <si>
    <t>Supplies: Office</t>
  </si>
  <si>
    <t>Utilities</t>
  </si>
  <si>
    <t>Additional Data</t>
  </si>
  <si>
    <t>Monthly Production</t>
  </si>
  <si>
    <t>Lost Sales</t>
  </si>
  <si>
    <t>Day old revenue</t>
  </si>
  <si>
    <t>High demand, % above Average</t>
  </si>
  <si>
    <t>Low Demand, % below average</t>
  </si>
  <si>
    <t>Average demand</t>
  </si>
  <si>
    <t>Month</t>
  </si>
  <si>
    <t>Demand</t>
  </si>
  <si>
    <t>Seasonal Index</t>
  </si>
  <si>
    <t>Deseasonalized</t>
  </si>
  <si>
    <t>Regression Output</t>
  </si>
  <si>
    <t>Deseasonalized forecast</t>
  </si>
  <si>
    <t>CURRENT OPERATIONS</t>
  </si>
  <si>
    <t>AVERAGE DEMAND</t>
  </si>
  <si>
    <t>satisfied demand</t>
  </si>
  <si>
    <t xml:space="preserve">Extra donuts(over) </t>
  </si>
  <si>
    <t>Unsatisfied customers (short)</t>
  </si>
  <si>
    <t>Revenue</t>
  </si>
  <si>
    <t xml:space="preserve">coffee </t>
  </si>
  <si>
    <t>donut</t>
  </si>
  <si>
    <t xml:space="preserve">Revenue from day old sales </t>
  </si>
  <si>
    <t>Total Revenue</t>
  </si>
  <si>
    <t>Expenses</t>
  </si>
  <si>
    <t>Fixed Expenses</t>
  </si>
  <si>
    <t>Total Fixed Expense</t>
  </si>
  <si>
    <t>Variable Expenses</t>
  </si>
  <si>
    <t>Coffee Variable expense</t>
  </si>
  <si>
    <t>Donut Variable expense</t>
  </si>
  <si>
    <t>Total Variable Expenses</t>
  </si>
  <si>
    <t>Expenses: due to lost sales</t>
  </si>
  <si>
    <t>Total  Expenses</t>
  </si>
  <si>
    <t>Profit Donuts and Coffee</t>
  </si>
  <si>
    <t>HIGH DEMAND</t>
  </si>
  <si>
    <t>LOW DEMAND</t>
  </si>
  <si>
    <t>PAYOFF TABLE</t>
  </si>
  <si>
    <t>State of Nature</t>
  </si>
  <si>
    <t xml:space="preserve">Summary of Results </t>
  </si>
  <si>
    <t xml:space="preserve">Methods </t>
  </si>
  <si>
    <t>Decision Alternatives</t>
  </si>
  <si>
    <t xml:space="preserve">Low </t>
  </si>
  <si>
    <t xml:space="preserve">Average </t>
  </si>
  <si>
    <t xml:space="preserve">High </t>
  </si>
  <si>
    <t>Maximin</t>
  </si>
  <si>
    <t>MaxiMax</t>
  </si>
  <si>
    <t xml:space="preserve">Laplace </t>
  </si>
  <si>
    <t>MinMax regret</t>
  </si>
  <si>
    <t>EVUII</t>
  </si>
  <si>
    <t>EOL</t>
  </si>
  <si>
    <t>DM UNDER IGNORANCE</t>
  </si>
  <si>
    <t>Kiana should choose to:</t>
  </si>
  <si>
    <t>Maximax</t>
  </si>
  <si>
    <t>Laplace</t>
  </si>
  <si>
    <t>Minimax Regret</t>
  </si>
  <si>
    <t>Regret table</t>
  </si>
  <si>
    <t>DM UNDER RISK</t>
  </si>
  <si>
    <t>Probability</t>
  </si>
  <si>
    <t>EVUPI</t>
  </si>
  <si>
    <t>EVPI</t>
  </si>
  <si>
    <t xml:space="preserve">Total </t>
  </si>
  <si>
    <t>Monthly Fixed Expense increase</t>
  </si>
  <si>
    <t>Monthly Production Increase</t>
  </si>
  <si>
    <t>Monthly demand increase</t>
  </si>
  <si>
    <t xml:space="preserve">States of Natures </t>
  </si>
  <si>
    <r>
      <t xml:space="preserve">CLICK CELL J2 as </t>
    </r>
    <r>
      <rPr>
        <b/>
        <sz val="11"/>
        <color theme="1"/>
        <rFont val="Calibri"/>
        <family val="2"/>
        <scheme val="minor"/>
      </rPr>
      <t>output cell</t>
    </r>
    <r>
      <rPr>
        <sz val="11"/>
        <color theme="1"/>
        <rFont val="Calibri"/>
        <family val="2"/>
        <scheme val="minor"/>
      </rPr>
      <t xml:space="preserve"> for regression</t>
    </r>
  </si>
  <si>
    <t>When you move your forecast to the profit models, you must use an equation, not just copy the values</t>
  </si>
  <si>
    <t xml:space="preserve">Yearly Total </t>
  </si>
  <si>
    <t>You should be able to copy from average to high and low and then just make some modifications</t>
  </si>
  <si>
    <t>FRANCHISE</t>
  </si>
  <si>
    <t>Spring 2021</t>
  </si>
  <si>
    <t>Ahadu Solomon</t>
  </si>
  <si>
    <t>DirVer</t>
  </si>
  <si>
    <t>Welcome to Microsoft Excel version 16.53 build 912 running on Macintosh (Intel) Version 11.2.3 (Build 20D91)!</t>
  </si>
  <si>
    <t>Microsoft Office User</t>
  </si>
  <si>
    <t>S01</t>
  </si>
  <si>
    <t>Start S01</t>
  </si>
  <si>
    <t>Total 3 year demand</t>
  </si>
  <si>
    <t>Total 3 year deseasonalized demand</t>
  </si>
  <si>
    <t>Average 3 year deseasonalized demand</t>
  </si>
  <si>
    <t>Highest Average SI</t>
  </si>
  <si>
    <t>Franchise  Operations</t>
  </si>
  <si>
    <t>Payoff</t>
  </si>
  <si>
    <t>Operations</t>
  </si>
  <si>
    <t>Reminder: Format Cells to show 2 decimal places</t>
  </si>
  <si>
    <t xml:space="preserve">probabilities </t>
  </si>
  <si>
    <t>Low</t>
  </si>
  <si>
    <t xml:space="preserve">High    </t>
  </si>
  <si>
    <t>Fill in the space below for each method solved under each Decision Alternative.  This is just a summary of the results on the left.</t>
  </si>
  <si>
    <t>Item</t>
  </si>
  <si>
    <t>Profit Model label</t>
  </si>
  <si>
    <t>Expense/revenue</t>
  </si>
  <si>
    <t>Rev: Coffee</t>
  </si>
  <si>
    <t>Rev: Donut</t>
  </si>
  <si>
    <t>Fixed Expense</t>
  </si>
  <si>
    <t>paper products: napkins, plates etc per Donut</t>
  </si>
  <si>
    <t>Average Monthly demand using the 3 year demand</t>
  </si>
  <si>
    <t xml:space="preserve">FOOD TRUCK </t>
  </si>
  <si>
    <t>Remember that we use profits to fill in payoff tables like the ones we forecasted in the previous sheets. It would help if you filled in the table in C5:E7 and referenced those values to the other tables below. Use the probabilities found in Financial Information B42:44 for the regret tables</t>
  </si>
  <si>
    <r>
      <t xml:space="preserve">2.  Create a pivot table selecting </t>
    </r>
    <r>
      <rPr>
        <b/>
        <sz val="11"/>
        <color theme="1"/>
        <rFont val="Calibri"/>
        <family val="2"/>
        <scheme val="minor"/>
      </rPr>
      <t>Existing Worksheet</t>
    </r>
    <r>
      <rPr>
        <sz val="11"/>
        <color theme="1"/>
        <rFont val="Calibri"/>
        <family val="2"/>
        <scheme val="minor"/>
      </rPr>
      <t xml:space="preserve"> at </t>
    </r>
    <r>
      <rPr>
        <b/>
        <sz val="11"/>
        <color theme="1"/>
        <rFont val="Calibri"/>
        <family val="2"/>
        <scheme val="minor"/>
      </rPr>
      <t xml:space="preserve">location </t>
    </r>
    <r>
      <rPr>
        <sz val="11"/>
        <color theme="1"/>
        <rFont val="Calibri"/>
        <family val="2"/>
        <scheme val="minor"/>
      </rPr>
      <t>D2</t>
    </r>
  </si>
  <si>
    <t>3. Confirm that there is no data from earlier than Jan 2019, and then remove that line</t>
  </si>
  <si>
    <t>5. Insert the trend line for 2022 and include the equation</t>
  </si>
  <si>
    <t>1. Copy your data set to columns A and B, leave the labels</t>
  </si>
  <si>
    <t>4. Create a Pivot Graph that looks like the one given in the Project instructions on Csepub</t>
  </si>
  <si>
    <t>Variable  Expense: Donut</t>
  </si>
  <si>
    <t>Variable  Expense: Coffee</t>
  </si>
  <si>
    <t xml:space="preserve">Monthly  average by Year (demand w/out Seasonality </t>
  </si>
  <si>
    <t>3 year Average SI</t>
  </si>
  <si>
    <t>Highest monthly average</t>
  </si>
  <si>
    <t>Put average of monthly seasonalized forcast in cell I50</t>
  </si>
  <si>
    <t xml:space="preserve">The below 2 columns are for the forecast for 2023 </t>
  </si>
  <si>
    <t>Seasonalized forecast, Use the average seasonal Index</t>
  </si>
  <si>
    <t xml:space="preserve">This space will be left blank. </t>
  </si>
  <si>
    <t xml:space="preserve">For the C and E columns above, only the blue boxes are needed </t>
  </si>
  <si>
    <t>Fall 25</t>
  </si>
  <si>
    <t>Row Labels</t>
  </si>
  <si>
    <t>Grand Total</t>
  </si>
  <si>
    <t>2020</t>
  </si>
  <si>
    <t>2021</t>
  </si>
  <si>
    <t>2022</t>
  </si>
  <si>
    <t>Sum of Demand</t>
  </si>
  <si>
    <t>Column Labels</t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</si>
  <si>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</si>
  <si>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</si>
  <si>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</si>
  <si>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</si>
  <si>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</si>
  <si>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</si>
  <si>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</si>
  <si>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</si>
  <si>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</si>
  <si>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</si>
  <si>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</si>
  <si>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</si>
  <si>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Sum of Expense/revenue</t>
  </si>
  <si>
    <t>SUMMARY OUTPUT</t>
  </si>
  <si>
    <t>Regression Statistics</t>
  </si>
  <si>
    <t>Multiple R</t>
  </si>
  <si>
    <t>R Square</t>
  </si>
  <si>
    <t>Adjusted R Square</t>
  </si>
  <si>
    <t>Standard Error</t>
  </si>
  <si>
    <t>Observations</t>
  </si>
  <si>
    <t>ANOVA</t>
  </si>
  <si>
    <t>Regression</t>
  </si>
  <si>
    <t>Residual</t>
  </si>
  <si>
    <t>Total</t>
  </si>
  <si>
    <t>Intercept</t>
  </si>
  <si>
    <t>df</t>
  </si>
  <si>
    <t>SS</t>
  </si>
  <si>
    <t>MS</t>
  </si>
  <si>
    <t>F</t>
  </si>
  <si>
    <t>Significance F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</si>
  <si>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</si>
  <si>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</si>
  <si>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</si>
  <si>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</si>
  <si>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</si>
  <si>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</si>
  <si>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</si>
  <si>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 xml:space="preserve">This Blue box represent the variables to use in the regression equation  to predict the demand for 2023.  </t>
  </si>
  <si>
    <t xml:space="preserve">Therefore you only need to use 1 ( such as just the Event column) in the Regression, since by default a 0 in the event column means they are at an office location. </t>
  </si>
  <si>
    <t xml:space="preserve">Since these are the only 2 possible locations.  This means that if they aren't at an Event location, they will be at an office location.  </t>
  </si>
  <si>
    <t>Event and office location are dummy variables.</t>
  </si>
  <si>
    <t>Use the model and the data in the blue box to create the demand for 2023</t>
  </si>
  <si>
    <t xml:space="preserve">Use the data to the left from 10/2021 till 1/2023 to create a regression model </t>
  </si>
  <si>
    <t>Demand is based off multiple regression</t>
  </si>
  <si>
    <t>office location</t>
  </si>
  <si>
    <t>Event location</t>
  </si>
  <si>
    <t>Hours operating/week</t>
  </si>
  <si>
    <t>Part 4</t>
  </si>
  <si>
    <t>MAKE to Order</t>
  </si>
  <si>
    <t xml:space="preserve">Food Truck </t>
  </si>
  <si>
    <t>make to order</t>
  </si>
  <si>
    <t>No rent instead payment for lease on Food Truck.</t>
  </si>
  <si>
    <t>No other employees</t>
  </si>
  <si>
    <t>Variable  Expense coffee</t>
  </si>
  <si>
    <t>No advertising, Friend doing locations on Insta and Facebook</t>
  </si>
  <si>
    <t>Variable  Expense donut</t>
  </si>
  <si>
    <t>Expense/revenue FT</t>
  </si>
  <si>
    <t xml:space="preserve">Drop Production since flexible hours and limited storage space </t>
  </si>
  <si>
    <t>new</t>
  </si>
  <si>
    <t xml:space="preserve">Donut Information for Food Truck </t>
  </si>
  <si>
    <t>Regression Equation</t>
  </si>
  <si>
    <t>y = 69.76934307x1+309.189781x2+</t>
  </si>
  <si>
    <t>min</t>
  </si>
  <si>
    <t>max</t>
  </si>
  <si>
    <t>avg`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</si>
</sst>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43" formatCode="_(* #,##0.00_);_(* \(#,##0.00\);_(* &quot;-&quot;??_);_(@_)"/>
    <numFmt numFmtId="164" formatCode="[$-409]m/d/yy\ h:mm\ AM/PM;@"/>
    <numFmt numFmtId="165" formatCode="mmm\-dd\ hh:mm"/>
    <numFmt numFmtId="166" formatCode="&quot;$&quot;#,##0.00"/>
    <numFmt numFmtId="167" formatCode="dd\-mmm\-yyyy\ hh:mm"/>
    <numFmt numFmtId="168" formatCode="0.0000"/>
  </numFmts>
  <fonts count="31" x14ac:knownFonts="1">
    <font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i/>
      <sz val="11"/>
      <color rgb="FFFF0000"/>
      <name val="Calibri"/>
      <family val="2"/>
      <scheme val="minor"/>
    </font>
    <font>
      <u/>
      <sz val="11"/>
      <color theme="10"/>
      <name val="Calibri"/>
      <family val="2"/>
      <scheme val="minor"/>
    </font>
    <font>
      <u/>
      <sz val="11"/>
      <color theme="11"/>
      <name val="Calibri"/>
      <family val="2"/>
      <scheme val="minor"/>
    </font>
    <font>
      <sz val="12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6"/>
      <color theme="1"/>
      <name val="Calibri"/>
      <family val="2"/>
      <scheme val="minor"/>
    </font>
    <font>
      <b/>
      <i/>
      <sz val="12"/>
      <color theme="1"/>
      <name val="Calibri"/>
      <family val="2"/>
      <scheme val="minor"/>
    </font>
    <font>
      <b/>
      <sz val="12"/>
      <color rgb="FFFF0000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sz val="10"/>
      <color theme="1"/>
      <name val="Arial"/>
      <family val="2"/>
    </font>
    <font>
      <b/>
      <sz val="12"/>
      <name val="Arial"/>
      <family val="2"/>
    </font>
    <font>
      <b/>
      <sz val="12"/>
      <color theme="1"/>
      <name val="Calibri"/>
      <family val="2"/>
      <scheme val="minor"/>
    </font>
    <font>
      <b/>
      <sz val="16"/>
      <name val="Calibri"/>
      <family val="2"/>
      <scheme val="minor"/>
    </font>
    <font>
      <b/>
      <sz val="11"/>
      <name val="Calibri"/>
      <family val="2"/>
      <scheme val="minor"/>
    </font>
    <font>
      <b/>
      <sz val="8"/>
      <color theme="1"/>
      <name val="Arial Unicode MS"/>
      <family val="2"/>
    </font>
    <font>
      <sz val="8"/>
      <name val="Arial Unicode MS"/>
      <family val="2"/>
    </font>
    <font>
      <b/>
      <i/>
      <sz val="14"/>
      <color theme="1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0"/>
      <color theme="1"/>
      <name val="Calibri (Body)"/>
    </font>
    <font>
      <sz val="14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0"/>
      <name val="Segoe UI"/>
      <family val="2"/>
    </font>
  </fonts>
  <fills count="1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7" tint="0.39997558519241921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2CC"/>
        <bgColor rgb="FF000000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59999389629810485"/>
        <bgColor indexed="64"/>
      </patternFill>
    </fill>
  </fills>
  <borders count="62">
    <border>
      <left/>
      <right/>
      <top/>
      <bottom/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 style="thin">
        <color theme="1"/>
      </left>
      <right style="thin">
        <color theme="1"/>
      </right>
      <top style="thin">
        <color theme="1"/>
      </top>
      <bottom style="thin">
        <color theme="1"/>
      </bottom>
      <diagonal/>
    </border>
    <border>
      <left style="medium">
        <color theme="1"/>
      </left>
      <right style="medium">
        <color theme="1"/>
      </right>
      <top style="medium">
        <color theme="1"/>
      </top>
      <bottom style="medium">
        <color theme="1"/>
      </bottom>
      <diagonal/>
    </border>
    <border>
      <left style="medium">
        <color theme="1"/>
      </left>
      <right style="medium">
        <color theme="1"/>
      </right>
      <top/>
      <bottom style="medium">
        <color theme="1"/>
      </bottom>
      <diagonal/>
    </border>
    <border>
      <left style="thin">
        <color theme="1"/>
      </left>
      <right/>
      <top style="medium">
        <color theme="1"/>
      </top>
      <bottom style="thin">
        <color theme="1"/>
      </bottom>
      <diagonal/>
    </border>
    <border>
      <left/>
      <right/>
      <top/>
      <bottom style="medium">
        <color theme="1"/>
      </bottom>
      <diagonal/>
    </border>
    <border>
      <left style="thin">
        <color indexed="64"/>
      </left>
      <right/>
      <top style="thin">
        <color indexed="64"/>
      </top>
      <bottom style="double">
        <color theme="1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double">
        <color theme="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 style="medium">
        <color theme="1"/>
      </top>
      <bottom style="medium">
        <color theme="1"/>
      </bottom>
      <diagonal/>
    </border>
    <border>
      <left/>
      <right style="medium">
        <color indexed="64"/>
      </right>
      <top style="thin">
        <color indexed="64"/>
      </top>
      <bottom style="double">
        <color theme="1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</borders>
  <cellStyleXfs count="97">
    <xf numFmtId="0" fontId="0" fillId="0" borderId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5" fillId="0" borderId="0" applyNumberFormat="0" applyFill="0" applyBorder="0" applyAlignment="0" applyProtection="0"/>
    <xf numFmtId="0" fontId="6" fillId="0" borderId="0" applyNumberFormat="0" applyFill="0" applyBorder="0" applyAlignment="0" applyProtection="0"/>
    <xf numFmtId="0" fontId="7" fillId="0" borderId="0"/>
    <xf numFmtId="43" fontId="7" fillId="0" borderId="0" applyFont="0" applyFill="0" applyBorder="0" applyAlignment="0" applyProtection="0"/>
    <xf numFmtId="9" fontId="7" fillId="0" borderId="0" applyFont="0" applyFill="0" applyBorder="0" applyAlignment="0" applyProtection="0"/>
    <xf numFmtId="0" fontId="13" fillId="0" borderId="0"/>
    <xf numFmtId="9" fontId="28" fillId="0" borderId="0" applyFont="0" applyFill="0" applyBorder="0" applyAlignment="0" applyProtection="0"/>
    <xf numFmtId="0" fontId="1" fillId="0" borderId="0"/>
  </cellStyleXfs>
  <cellXfs count="242">
    <xf numFmtId="0" fontId="0" fillId="0" borderId="0" xfId="0"/>
    <xf numFmtId="0" fontId="2" fillId="0" borderId="0" xfId="0" applyFont="1"/>
    <xf numFmtId="0" fontId="3" fillId="0" borderId="0" xfId="0" applyFont="1"/>
    <xf numFmtId="165" fontId="3" fillId="0" borderId="0" xfId="0" applyNumberFormat="1" applyFont="1"/>
    <xf numFmtId="0" fontId="4" fillId="0" borderId="0" xfId="0" applyFont="1"/>
    <xf numFmtId="165" fontId="2" fillId="0" borderId="0" xfId="0" applyNumberFormat="1" applyFont="1"/>
    <xf numFmtId="164" fontId="2" fillId="0" borderId="0" xfId="0" applyNumberFormat="1" applyFont="1"/>
    <xf numFmtId="165" fontId="0" fillId="0" borderId="0" xfId="0" applyNumberFormat="1"/>
    <xf numFmtId="0" fontId="9" fillId="0" borderId="0" xfId="0" applyFont="1"/>
    <xf numFmtId="0" fontId="9" fillId="0" borderId="0" xfId="0" applyFont="1" applyAlignment="1">
      <alignment vertical="center"/>
    </xf>
    <xf numFmtId="0" fontId="7" fillId="0" borderId="0" xfId="0" applyFont="1"/>
    <xf numFmtId="0" fontId="12" fillId="0" borderId="0" xfId="0" applyFont="1"/>
    <xf numFmtId="166" fontId="0" fillId="0" borderId="0" xfId="0" applyNumberFormat="1"/>
    <xf numFmtId="166" fontId="13" fillId="0" borderId="6" xfId="94" applyNumberFormat="1" applyBorder="1"/>
    <xf numFmtId="166" fontId="13" fillId="0" borderId="10" xfId="94" applyNumberFormat="1" applyBorder="1"/>
    <xf numFmtId="0" fontId="15" fillId="0" borderId="11" xfId="94" applyFont="1" applyBorder="1" applyAlignment="1">
      <alignment horizontal="left" vertical="center" wrapText="1"/>
    </xf>
    <xf numFmtId="166" fontId="13" fillId="0" borderId="0" xfId="94" applyNumberFormat="1"/>
    <xf numFmtId="0" fontId="15" fillId="0" borderId="0" xfId="94" applyFont="1" applyAlignment="1">
      <alignment horizontal="left" vertical="center" wrapText="1"/>
    </xf>
    <xf numFmtId="0" fontId="17" fillId="4" borderId="16" xfId="0" applyFont="1" applyFill="1" applyBorder="1"/>
    <xf numFmtId="0" fontId="17" fillId="4" borderId="17" xfId="0" applyFont="1" applyFill="1" applyBorder="1"/>
    <xf numFmtId="0" fontId="17" fillId="4" borderId="18" xfId="0" applyFont="1" applyFill="1" applyBorder="1"/>
    <xf numFmtId="0" fontId="17" fillId="4" borderId="0" xfId="0" applyFont="1" applyFill="1"/>
    <xf numFmtId="0" fontId="0" fillId="4" borderId="0" xfId="0" applyFill="1"/>
    <xf numFmtId="14" fontId="0" fillId="5" borderId="15" xfId="0" applyNumberFormat="1" applyFill="1" applyBorder="1"/>
    <xf numFmtId="0" fontId="0" fillId="0" borderId="19" xfId="0" applyBorder="1"/>
    <xf numFmtId="0" fontId="0" fillId="0" borderId="20" xfId="0" applyBorder="1"/>
    <xf numFmtId="0" fontId="0" fillId="0" borderId="8" xfId="0" applyBorder="1"/>
    <xf numFmtId="0" fontId="0" fillId="6" borderId="8" xfId="0" applyFill="1" applyBorder="1"/>
    <xf numFmtId="0" fontId="9" fillId="0" borderId="0" xfId="0" applyFont="1" applyAlignment="1">
      <alignment horizontal="center"/>
    </xf>
    <xf numFmtId="0" fontId="0" fillId="2" borderId="6" xfId="0" applyFill="1" applyBorder="1"/>
    <xf numFmtId="0" fontId="0" fillId="5" borderId="15" xfId="0" applyFill="1" applyBorder="1"/>
    <xf numFmtId="0" fontId="0" fillId="5" borderId="5" xfId="0" applyFill="1" applyBorder="1"/>
    <xf numFmtId="0" fontId="0" fillId="2" borderId="32" xfId="0" applyFill="1" applyBorder="1"/>
    <xf numFmtId="0" fontId="0" fillId="2" borderId="8" xfId="0" applyFill="1" applyBorder="1"/>
    <xf numFmtId="0" fontId="0" fillId="2" borderId="24" xfId="0" applyFill="1" applyBorder="1"/>
    <xf numFmtId="0" fontId="9" fillId="0" borderId="0" xfId="0" applyFont="1" applyAlignment="1">
      <alignment wrapText="1"/>
    </xf>
    <xf numFmtId="0" fontId="22" fillId="0" borderId="0" xfId="0" applyFont="1"/>
    <xf numFmtId="0" fontId="9" fillId="0" borderId="1" xfId="0" applyFont="1" applyBorder="1" applyAlignment="1">
      <alignment wrapText="1"/>
    </xf>
    <xf numFmtId="0" fontId="9" fillId="0" borderId="1" xfId="0" applyFont="1" applyBorder="1" applyAlignment="1">
      <alignment vertical="center" wrapText="1"/>
    </xf>
    <xf numFmtId="0" fontId="9" fillId="0" borderId="18" xfId="0" applyFont="1" applyBorder="1" applyAlignment="1">
      <alignment vertical="center" wrapText="1"/>
    </xf>
    <xf numFmtId="0" fontId="9" fillId="0" borderId="0" xfId="0" applyFont="1" applyAlignment="1">
      <alignment horizontal="right"/>
    </xf>
    <xf numFmtId="0" fontId="9" fillId="0" borderId="35" xfId="0" applyFont="1" applyBorder="1" applyAlignment="1">
      <alignment vertical="center"/>
    </xf>
    <xf numFmtId="0" fontId="9" fillId="0" borderId="36" xfId="0" applyFont="1" applyBorder="1" applyAlignment="1">
      <alignment vertical="center" wrapText="1"/>
    </xf>
    <xf numFmtId="0" fontId="9" fillId="5" borderId="0" xfId="0" applyFont="1" applyFill="1"/>
    <xf numFmtId="0" fontId="0" fillId="2" borderId="0" xfId="0" applyFill="1"/>
    <xf numFmtId="0" fontId="9" fillId="0" borderId="37" xfId="0" applyFont="1" applyBorder="1" applyAlignment="1">
      <alignment wrapText="1"/>
    </xf>
    <xf numFmtId="0" fontId="9" fillId="0" borderId="38" xfId="0" applyFont="1" applyBorder="1" applyAlignment="1">
      <alignment vertical="center" wrapText="1"/>
    </xf>
    <xf numFmtId="0" fontId="9" fillId="0" borderId="26" xfId="0" applyFont="1" applyBorder="1" applyAlignment="1">
      <alignment vertical="center" wrapText="1"/>
    </xf>
    <xf numFmtId="0" fontId="0" fillId="0" borderId="39" xfId="0" applyBorder="1" applyAlignment="1">
      <alignment wrapText="1"/>
    </xf>
    <xf numFmtId="0" fontId="9" fillId="0" borderId="40" xfId="0" applyFont="1" applyBorder="1" applyAlignment="1">
      <alignment vertical="center"/>
    </xf>
    <xf numFmtId="0" fontId="9" fillId="0" borderId="0" xfId="0" applyFont="1" applyAlignment="1">
      <alignment horizontal="center" wrapText="1"/>
    </xf>
    <xf numFmtId="9" fontId="0" fillId="0" borderId="0" xfId="0" applyNumberFormat="1"/>
    <xf numFmtId="0" fontId="10" fillId="3" borderId="37" xfId="0" applyFont="1" applyFill="1" applyBorder="1" applyAlignment="1">
      <alignment horizontal="center" wrapText="1"/>
    </xf>
    <xf numFmtId="0" fontId="0" fillId="3" borderId="41" xfId="0" applyFill="1" applyBorder="1"/>
    <xf numFmtId="0" fontId="13" fillId="3" borderId="41" xfId="94" applyFill="1" applyBorder="1"/>
    <xf numFmtId="0" fontId="13" fillId="3" borderId="36" xfId="94" applyFill="1" applyBorder="1"/>
    <xf numFmtId="0" fontId="9" fillId="0" borderId="0" xfId="0" applyFont="1" applyAlignment="1">
      <alignment horizontal="center" vertical="center"/>
    </xf>
    <xf numFmtId="167" fontId="3" fillId="0" borderId="0" xfId="0" applyNumberFormat="1" applyFont="1"/>
    <xf numFmtId="0" fontId="0" fillId="5" borderId="15" xfId="0" applyFill="1" applyBorder="1" applyAlignment="1">
      <alignment horizontal="right"/>
    </xf>
    <xf numFmtId="0" fontId="0" fillId="0" borderId="43" xfId="0" applyBorder="1"/>
    <xf numFmtId="17" fontId="0" fillId="4" borderId="45" xfId="0" applyNumberFormat="1" applyFill="1" applyBorder="1"/>
    <xf numFmtId="0" fontId="0" fillId="0" borderId="46" xfId="0" applyBorder="1"/>
    <xf numFmtId="0" fontId="9" fillId="4" borderId="25" xfId="0" applyFont="1" applyFill="1" applyBorder="1" applyAlignment="1">
      <alignment horizontal="center" vertical="center"/>
    </xf>
    <xf numFmtId="0" fontId="9" fillId="5" borderId="28" xfId="0" applyFont="1" applyFill="1" applyBorder="1" applyAlignment="1">
      <alignment horizontal="center"/>
    </xf>
    <xf numFmtId="0" fontId="9" fillId="5" borderId="42" xfId="0" applyFont="1" applyFill="1" applyBorder="1" applyAlignment="1">
      <alignment horizontal="right"/>
    </xf>
    <xf numFmtId="0" fontId="9" fillId="5" borderId="15" xfId="0" applyFont="1" applyFill="1" applyBorder="1" applyAlignment="1">
      <alignment horizontal="center"/>
    </xf>
    <xf numFmtId="0" fontId="9" fillId="5" borderId="21" xfId="0" applyFont="1" applyFill="1" applyBorder="1" applyAlignment="1">
      <alignment horizontal="right"/>
    </xf>
    <xf numFmtId="0" fontId="0" fillId="5" borderId="1" xfId="0" applyFill="1" applyBorder="1"/>
    <xf numFmtId="0" fontId="0" fillId="0" borderId="6" xfId="0" applyBorder="1"/>
    <xf numFmtId="0" fontId="0" fillId="0" borderId="1" xfId="0" applyBorder="1"/>
    <xf numFmtId="17" fontId="0" fillId="4" borderId="49" xfId="0" applyNumberFormat="1" applyFill="1" applyBorder="1"/>
    <xf numFmtId="2" fontId="0" fillId="0" borderId="30" xfId="0" applyNumberFormat="1" applyBorder="1"/>
    <xf numFmtId="2" fontId="0" fillId="0" borderId="20" xfId="0" applyNumberFormat="1" applyBorder="1"/>
    <xf numFmtId="2" fontId="0" fillId="0" borderId="50" xfId="0" applyNumberFormat="1" applyBorder="1"/>
    <xf numFmtId="2" fontId="0" fillId="0" borderId="0" xfId="0" applyNumberFormat="1"/>
    <xf numFmtId="2" fontId="0" fillId="0" borderId="27" xfId="0" applyNumberFormat="1" applyBorder="1"/>
    <xf numFmtId="2" fontId="0" fillId="0" borderId="29" xfId="0" applyNumberFormat="1" applyBorder="1"/>
    <xf numFmtId="2" fontId="0" fillId="0" borderId="51" xfId="0" applyNumberFormat="1" applyBorder="1"/>
    <xf numFmtId="2" fontId="0" fillId="0" borderId="52" xfId="0" applyNumberFormat="1" applyBorder="1"/>
    <xf numFmtId="1" fontId="0" fillId="0" borderId="51" xfId="0" applyNumberFormat="1" applyBorder="1"/>
    <xf numFmtId="2" fontId="0" fillId="0" borderId="47" xfId="0" applyNumberFormat="1" applyBorder="1"/>
    <xf numFmtId="2" fontId="0" fillId="0" borderId="22" xfId="0" applyNumberFormat="1" applyBorder="1"/>
    <xf numFmtId="0" fontId="0" fillId="0" borderId="41" xfId="0" applyBorder="1"/>
    <xf numFmtId="0" fontId="25" fillId="2" borderId="20" xfId="0" applyFont="1" applyFill="1" applyBorder="1" applyAlignment="1">
      <alignment wrapText="1"/>
    </xf>
    <xf numFmtId="2" fontId="0" fillId="6" borderId="8" xfId="0" applyNumberFormat="1" applyFill="1" applyBorder="1"/>
    <xf numFmtId="168" fontId="0" fillId="0" borderId="19" xfId="0" applyNumberFormat="1" applyBorder="1"/>
    <xf numFmtId="168" fontId="0" fillId="0" borderId="8" xfId="0" applyNumberFormat="1" applyBorder="1"/>
    <xf numFmtId="2" fontId="0" fillId="0" borderId="19" xfId="0" applyNumberFormat="1" applyBorder="1"/>
    <xf numFmtId="2" fontId="0" fillId="0" borderId="8" xfId="0" applyNumberFormat="1" applyBorder="1"/>
    <xf numFmtId="2" fontId="0" fillId="5" borderId="0" xfId="0" applyNumberFormat="1" applyFill="1"/>
    <xf numFmtId="0" fontId="9" fillId="4" borderId="1" xfId="0" applyFont="1" applyFill="1" applyBorder="1"/>
    <xf numFmtId="2" fontId="0" fillId="0" borderId="43" xfId="0" applyNumberFormat="1" applyBorder="1"/>
    <xf numFmtId="2" fontId="0" fillId="5" borderId="53" xfId="0" applyNumberFormat="1" applyFill="1" applyBorder="1"/>
    <xf numFmtId="2" fontId="7" fillId="0" borderId="48" xfId="91" applyNumberFormat="1" applyBorder="1" applyAlignment="1">
      <alignment wrapText="1"/>
    </xf>
    <xf numFmtId="2" fontId="0" fillId="5" borderId="44" xfId="0" applyNumberFormat="1" applyFill="1" applyBorder="1"/>
    <xf numFmtId="168" fontId="0" fillId="5" borderId="1" xfId="0" applyNumberFormat="1" applyFill="1" applyBorder="1"/>
    <xf numFmtId="2" fontId="0" fillId="5" borderId="48" xfId="0" applyNumberFormat="1" applyFill="1" applyBorder="1"/>
    <xf numFmtId="2" fontId="0" fillId="5" borderId="1" xfId="0" applyNumberFormat="1" applyFill="1" applyBorder="1"/>
    <xf numFmtId="2" fontId="0" fillId="0" borderId="5" xfId="0" applyNumberFormat="1" applyBorder="1"/>
    <xf numFmtId="0" fontId="27" fillId="0" borderId="35" xfId="0" applyFont="1" applyBorder="1" applyAlignment="1">
      <alignment vertical="center"/>
    </xf>
    <xf numFmtId="0" fontId="27" fillId="0" borderId="36" xfId="0" applyFont="1" applyBorder="1" applyAlignment="1">
      <alignment vertical="center" wrapText="1"/>
    </xf>
    <xf numFmtId="2" fontId="0" fillId="0" borderId="13" xfId="0" applyNumberFormat="1" applyBorder="1"/>
    <xf numFmtId="2" fontId="0" fillId="0" borderId="12" xfId="0" applyNumberFormat="1" applyBorder="1"/>
    <xf numFmtId="2" fontId="0" fillId="0" borderId="7" xfId="0" applyNumberFormat="1" applyBorder="1"/>
    <xf numFmtId="2" fontId="0" fillId="0" borderId="14" xfId="0" applyNumberFormat="1" applyBorder="1"/>
    <xf numFmtId="9" fontId="9" fillId="0" borderId="6" xfId="0" applyNumberFormat="1" applyFont="1" applyBorder="1" applyAlignment="1">
      <alignment vertical="center" wrapText="1"/>
    </xf>
    <xf numFmtId="9" fontId="9" fillId="0" borderId="9" xfId="0" applyNumberFormat="1" applyFont="1" applyBorder="1" applyAlignment="1">
      <alignment vertical="center" wrapText="1"/>
    </xf>
    <xf numFmtId="9" fontId="9" fillId="0" borderId="10" xfId="95" applyFont="1" applyBorder="1" applyAlignment="1">
      <alignment vertical="center" wrapText="1"/>
    </xf>
    <xf numFmtId="17" fontId="0" fillId="0" borderId="54" xfId="0" applyNumberFormat="1" applyBorder="1"/>
    <xf numFmtId="0" fontId="7" fillId="0" borderId="19" xfId="91" applyBorder="1"/>
    <xf numFmtId="0" fontId="7" fillId="0" borderId="8" xfId="91" applyBorder="1"/>
    <xf numFmtId="0" fontId="17" fillId="3" borderId="0" xfId="0" applyFont="1" applyFill="1" applyAlignment="1">
      <alignment horizontal="left" vertical="center" wrapText="1"/>
    </xf>
    <xf numFmtId="0" fontId="17" fillId="3" borderId="0" xfId="0" applyFont="1" applyFill="1" applyAlignment="1">
      <alignment wrapText="1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10" fillId="0" borderId="0" xfId="0" applyFont="1" applyAlignment="1">
      <alignment wrapText="1"/>
    </xf>
    <xf numFmtId="0" fontId="0" fillId="0" borderId="0" xfId="0" applyAlignment="1">
      <alignment wrapText="1"/>
    </xf>
    <xf numFmtId="166" fontId="29" fillId="0" borderId="0" xfId="0" applyNumberFormat="1" applyFont="1"/>
    <xf numFmtId="0" fontId="14" fillId="0" borderId="2" xfId="94" applyFont="1" applyBorder="1" applyAlignment="1">
      <alignment wrapText="1"/>
    </xf>
    <xf numFmtId="0" fontId="9" fillId="0" borderId="3" xfId="0" applyFont="1" applyBorder="1" applyAlignment="1">
      <alignment wrapText="1"/>
    </xf>
    <xf numFmtId="166" fontId="14" fillId="0" borderId="4" xfId="94" applyNumberFormat="1" applyFont="1" applyBorder="1" applyAlignment="1">
      <alignment wrapText="1"/>
    </xf>
    <xf numFmtId="0" fontId="13" fillId="0" borderId="40" xfId="94" applyBorder="1" applyAlignment="1">
      <alignment wrapText="1"/>
    </xf>
    <xf numFmtId="166" fontId="13" fillId="0" borderId="7" xfId="94" applyNumberFormat="1" applyBorder="1"/>
    <xf numFmtId="0" fontId="13" fillId="0" borderId="55" xfId="94" applyBorder="1" applyAlignment="1">
      <alignment wrapText="1"/>
    </xf>
    <xf numFmtId="0" fontId="13" fillId="0" borderId="6" xfId="94" applyBorder="1" applyAlignment="1">
      <alignment wrapText="1"/>
    </xf>
    <xf numFmtId="0" fontId="13" fillId="0" borderId="0" xfId="94" applyAlignment="1">
      <alignment wrapText="1"/>
    </xf>
    <xf numFmtId="0" fontId="13" fillId="0" borderId="41" xfId="94" applyBorder="1" applyAlignment="1">
      <alignment wrapText="1"/>
    </xf>
    <xf numFmtId="0" fontId="16" fillId="0" borderId="0" xfId="94" applyFont="1" applyAlignment="1">
      <alignment wrapText="1"/>
    </xf>
    <xf numFmtId="0" fontId="18" fillId="3" borderId="3" xfId="94" applyFont="1" applyFill="1" applyBorder="1" applyAlignment="1">
      <alignment horizontal="center" vertical="center" wrapText="1"/>
    </xf>
    <xf numFmtId="0" fontId="0" fillId="0" borderId="0" xfId="0" applyAlignment="1">
      <alignment horizontal="center"/>
    </xf>
    <xf numFmtId="0" fontId="10" fillId="0" borderId="0" xfId="0" applyFont="1" applyAlignment="1">
      <alignment horizontal="center" wrapText="1"/>
    </xf>
    <xf numFmtId="0" fontId="18" fillId="3" borderId="37" xfId="94" applyFont="1" applyFill="1" applyBorder="1" applyAlignment="1">
      <alignment horizontal="center" vertical="center" wrapText="1"/>
    </xf>
    <xf numFmtId="0" fontId="19" fillId="3" borderId="41" xfId="0" applyFont="1" applyFill="1" applyBorder="1" applyAlignment="1">
      <alignment wrapText="1"/>
    </xf>
    <xf numFmtId="0" fontId="9" fillId="3" borderId="41" xfId="0" applyFont="1" applyFill="1" applyBorder="1" applyAlignment="1">
      <alignment wrapText="1"/>
    </xf>
    <xf numFmtId="0" fontId="20" fillId="0" borderId="0" xfId="94" applyFont="1" applyAlignment="1">
      <alignment horizontal="left" vertical="center" wrapText="1"/>
    </xf>
    <xf numFmtId="0" fontId="21" fillId="0" borderId="0" xfId="94" applyFont="1" applyAlignment="1">
      <alignment horizontal="left" vertical="center" wrapText="1"/>
    </xf>
    <xf numFmtId="0" fontId="10" fillId="0" borderId="0" xfId="0" applyFont="1" applyAlignment="1">
      <alignment horizontal="left"/>
    </xf>
    <xf numFmtId="14" fontId="0" fillId="5" borderId="41" xfId="0" applyNumberFormat="1" applyFill="1" applyBorder="1"/>
    <xf numFmtId="2" fontId="0" fillId="6" borderId="19" xfId="0" applyNumberFormat="1" applyFill="1" applyBorder="1"/>
    <xf numFmtId="0" fontId="0" fillId="0" borderId="44" xfId="0" applyBorder="1"/>
    <xf numFmtId="0" fontId="0" fillId="0" borderId="48" xfId="0" applyBorder="1"/>
    <xf numFmtId="2" fontId="7" fillId="0" borderId="56" xfId="91" applyNumberFormat="1" applyBorder="1" applyAlignment="1">
      <alignment wrapText="1"/>
    </xf>
    <xf numFmtId="14" fontId="0" fillId="5" borderId="0" xfId="0" applyNumberFormat="1" applyFill="1"/>
    <xf numFmtId="0" fontId="0" fillId="2" borderId="0" xfId="0" applyFill="1" applyAlignment="1">
      <alignment horizontal="left"/>
    </xf>
    <xf numFmtId="0" fontId="23" fillId="0" borderId="0" xfId="0" applyFont="1" applyAlignment="1">
      <alignment horizontal="left" vertical="top" wrapText="1"/>
    </xf>
    <xf numFmtId="0" fontId="0" fillId="0" borderId="0" xfId="0" applyAlignment="1">
      <alignment vertical="center"/>
    </xf>
    <xf numFmtId="0" fontId="7" fillId="0" borderId="0" xfId="0" applyFont="1" applyAlignment="1">
      <alignment wrapText="1"/>
    </xf>
    <xf numFmtId="0" fontId="0" fillId="0" borderId="6" xfId="0" applyBorder="1" applyAlignment="1">
      <alignment wrapText="1"/>
    </xf>
    <xf numFmtId="166" fontId="13" fillId="0" borderId="0" xfId="94" applyNumberFormat="1" applyAlignment="1">
      <alignment wrapText="1"/>
    </xf>
    <xf numFmtId="0" fontId="0" fillId="3" borderId="26" xfId="0" applyFill="1" applyBorder="1" applyAlignment="1">
      <alignment horizontal="center" wrapText="1"/>
    </xf>
    <xf numFmtId="9" fontId="0" fillId="2" borderId="0" xfId="0" applyNumberFormat="1" applyFill="1" applyAlignment="1">
      <alignment wrapText="1"/>
    </xf>
    <xf numFmtId="9" fontId="0" fillId="2" borderId="31" xfId="0" applyNumberFormat="1" applyFill="1" applyBorder="1" applyAlignment="1">
      <alignment wrapText="1"/>
    </xf>
    <xf numFmtId="0" fontId="0" fillId="3" borderId="20" xfId="0" applyFill="1" applyBorder="1" applyAlignment="1">
      <alignment horizontal="center" wrapText="1"/>
    </xf>
    <xf numFmtId="4" fontId="0" fillId="2" borderId="20" xfId="0" applyNumberFormat="1" applyFill="1" applyBorder="1" applyAlignment="1">
      <alignment wrapText="1"/>
    </xf>
    <xf numFmtId="9" fontId="0" fillId="2" borderId="20" xfId="0" applyNumberFormat="1" applyFill="1" applyBorder="1" applyAlignment="1">
      <alignment wrapText="1"/>
    </xf>
    <xf numFmtId="0" fontId="10" fillId="3" borderId="3" xfId="0" applyFont="1" applyFill="1" applyBorder="1" applyAlignment="1">
      <alignment horizontal="left" wrapText="1"/>
    </xf>
    <xf numFmtId="10" fontId="13" fillId="2" borderId="0" xfId="94" applyNumberFormat="1" applyFill="1" applyAlignment="1">
      <alignment wrapText="1"/>
    </xf>
    <xf numFmtId="10" fontId="13" fillId="2" borderId="22" xfId="94" applyNumberFormat="1" applyFill="1" applyBorder="1" applyAlignment="1">
      <alignment wrapText="1"/>
    </xf>
    <xf numFmtId="0" fontId="17" fillId="4" borderId="17" xfId="0" applyFont="1" applyFill="1" applyBorder="1" applyAlignment="1">
      <alignment wrapText="1"/>
    </xf>
    <xf numFmtId="168" fontId="3" fillId="7" borderId="19" xfId="0" applyNumberFormat="1" applyFont="1" applyFill="1" applyBorder="1"/>
    <xf numFmtId="0" fontId="24" fillId="8" borderId="0" xfId="0" applyFont="1" applyFill="1"/>
    <xf numFmtId="0" fontId="0" fillId="6" borderId="41" xfId="0" applyFill="1" applyBorder="1"/>
    <xf numFmtId="0" fontId="0" fillId="6" borderId="0" xfId="0" applyFill="1"/>
    <xf numFmtId="0" fontId="0" fillId="5" borderId="37" xfId="0" applyFill="1" applyBorder="1"/>
    <xf numFmtId="0" fontId="0" fillId="5" borderId="3" xfId="0" applyFill="1" applyBorder="1"/>
    <xf numFmtId="168" fontId="26" fillId="5" borderId="3" xfId="0" applyNumberFormat="1" applyFont="1" applyFill="1" applyBorder="1"/>
    <xf numFmtId="0" fontId="0" fillId="5" borderId="26" xfId="0" applyFill="1" applyBorder="1"/>
    <xf numFmtId="0" fontId="0" fillId="5" borderId="41" xfId="0" applyFill="1" applyBorder="1"/>
    <xf numFmtId="0" fontId="0" fillId="5" borderId="0" xfId="0" applyFill="1"/>
    <xf numFmtId="168" fontId="26" fillId="5" borderId="0" xfId="0" applyNumberFormat="1" applyFont="1" applyFill="1"/>
    <xf numFmtId="0" fontId="0" fillId="5" borderId="20" xfId="0" applyFill="1" applyBorder="1"/>
    <xf numFmtId="0" fontId="0" fillId="5" borderId="36" xfId="0" applyFill="1" applyBorder="1"/>
    <xf numFmtId="0" fontId="0" fillId="5" borderId="22" xfId="0" applyFill="1" applyBorder="1"/>
    <xf numFmtId="168" fontId="26" fillId="5" borderId="22" xfId="0" applyNumberFormat="1" applyFont="1" applyFill="1" applyBorder="1"/>
    <xf numFmtId="0" fontId="0" fillId="5" borderId="31" xfId="0" applyFill="1" applyBorder="1"/>
    <xf numFmtId="14" fontId="26" fillId="9" borderId="15" xfId="0" applyNumberFormat="1" applyFont="1" applyFill="1" applyBorder="1"/>
    <xf numFmtId="0" fontId="7" fillId="0" borderId="57" xfId="91" applyBorder="1"/>
    <xf numFmtId="0" fontId="0" fillId="0" borderId="0" xfId="0" pivotButton="1"/>
    <xf numFmtId="0" fontId="0" fillId="0" borderId="0" xfId="0" applyAlignment="1">
      <alignment horizontal="left"/>
    </xf>
    <xf numFmtId="0" fontId="0" fillId="0" borderId="22" xfId="0" applyBorder="1"/>
    <xf numFmtId="0" fontId="8" fillId="0" borderId="58" xfId="0" applyFont="1" applyBorder="1" applyAlignment="1">
      <alignment horizontal="center"/>
    </xf>
    <xf numFmtId="0" fontId="8" fillId="0" borderId="58" xfId="0" applyFont="1" applyBorder="1" applyAlignment="1">
      <alignment horizontal="centerContinuous"/>
    </xf>
    <xf numFmtId="2" fontId="0" fillId="2" borderId="6" xfId="0" applyNumberFormat="1" applyFill="1" applyBorder="1"/>
    <xf numFmtId="2" fontId="0" fillId="2" borderId="8" xfId="0" applyNumberFormat="1" applyFill="1" applyBorder="1"/>
    <xf numFmtId="0" fontId="1" fillId="0" borderId="57" xfId="96" applyBorder="1"/>
    <xf numFmtId="0" fontId="1" fillId="0" borderId="19" xfId="96" applyBorder="1"/>
    <xf numFmtId="0" fontId="0" fillId="10" borderId="0" xfId="0" applyFill="1"/>
    <xf numFmtId="0" fontId="8" fillId="0" borderId="0" xfId="0" applyFont="1" applyAlignment="1">
      <alignment horizontal="center"/>
    </xf>
    <xf numFmtId="0" fontId="0" fillId="11" borderId="0" xfId="0" applyFill="1"/>
    <xf numFmtId="0" fontId="1" fillId="11" borderId="52" xfId="96" applyFill="1" applyBorder="1"/>
    <xf numFmtId="0" fontId="8" fillId="0" borderId="0" xfId="0" applyFont="1" applyAlignment="1">
      <alignment horizontal="centerContinuous"/>
    </xf>
    <xf numFmtId="0" fontId="1" fillId="11" borderId="59" xfId="96" applyFill="1" applyBorder="1"/>
    <xf numFmtId="0" fontId="9" fillId="12" borderId="0" xfId="0" applyFont="1" applyFill="1" applyAlignment="1">
      <alignment wrapText="1"/>
    </xf>
    <xf numFmtId="0" fontId="17" fillId="4" borderId="60" xfId="0" applyFont="1" applyFill="1" applyBorder="1" applyAlignment="1">
      <alignment wrapText="1"/>
    </xf>
    <xf numFmtId="0" fontId="17" fillId="4" borderId="16" xfId="0" applyFont="1" applyFill="1" applyBorder="1" applyAlignment="1">
      <alignment wrapText="1"/>
    </xf>
    <xf numFmtId="0" fontId="0" fillId="0" borderId="24" xfId="0" applyBorder="1"/>
    <xf numFmtId="0" fontId="0" fillId="0" borderId="32" xfId="0" applyBorder="1"/>
    <xf numFmtId="0" fontId="30" fillId="0" borderId="0" xfId="0" applyFont="1"/>
    <xf numFmtId="0" fontId="21" fillId="0" borderId="0" xfId="94" applyFont="1" applyAlignment="1">
      <alignment horizontal="left" vertical="center"/>
    </xf>
    <xf numFmtId="0" fontId="20" fillId="0" borderId="0" xfId="94" applyFont="1" applyAlignment="1">
      <alignment horizontal="left" vertical="center"/>
    </xf>
    <xf numFmtId="0" fontId="13" fillId="0" borderId="0" xfId="94"/>
    <xf numFmtId="0" fontId="15" fillId="0" borderId="0" xfId="94" applyFont="1" applyAlignment="1">
      <alignment horizontal="left" vertical="center"/>
    </xf>
    <xf numFmtId="166" fontId="13" fillId="8" borderId="0" xfId="94" applyNumberFormat="1" applyFill="1"/>
    <xf numFmtId="0" fontId="13" fillId="8" borderId="0" xfId="94" applyFill="1"/>
    <xf numFmtId="10" fontId="13" fillId="8" borderId="0" xfId="94" applyNumberFormat="1" applyFill="1"/>
    <xf numFmtId="0" fontId="0" fillId="8" borderId="0" xfId="0" applyFill="1"/>
    <xf numFmtId="0" fontId="10" fillId="8" borderId="0" xfId="0" applyFont="1" applyFill="1" applyAlignment="1">
      <alignment horizontal="center" wrapText="1"/>
    </xf>
    <xf numFmtId="9" fontId="0" fillId="8" borderId="0" xfId="0" applyNumberFormat="1" applyFill="1"/>
    <xf numFmtId="0" fontId="9" fillId="8" borderId="0" xfId="0" applyFont="1" applyFill="1"/>
    <xf numFmtId="0" fontId="19" fillId="0" borderId="0" xfId="0" applyFont="1"/>
    <xf numFmtId="4" fontId="0" fillId="0" borderId="20" xfId="0" applyNumberFormat="1" applyBorder="1"/>
    <xf numFmtId="0" fontId="19" fillId="0" borderId="41" xfId="0" applyFont="1" applyBorder="1"/>
    <xf numFmtId="0" fontId="0" fillId="0" borderId="20" xfId="0" applyBorder="1" applyAlignment="1">
      <alignment horizontal="center"/>
    </xf>
    <xf numFmtId="9" fontId="0" fillId="2" borderId="31" xfId="0" applyNumberFormat="1" applyFill="1" applyBorder="1"/>
    <xf numFmtId="9" fontId="0" fillId="2" borderId="0" xfId="0" applyNumberFormat="1" applyFill="1"/>
    <xf numFmtId="0" fontId="0" fillId="3" borderId="26" xfId="0" applyFill="1" applyBorder="1" applyAlignment="1">
      <alignment horizontal="center"/>
    </xf>
    <xf numFmtId="0" fontId="18" fillId="3" borderId="37" xfId="94" applyFont="1" applyFill="1" applyBorder="1" applyAlignment="1">
      <alignment horizontal="center" vertical="center"/>
    </xf>
    <xf numFmtId="0" fontId="16" fillId="0" borderId="0" xfId="94" applyFont="1"/>
    <xf numFmtId="4" fontId="0" fillId="0" borderId="0" xfId="0" applyNumberFormat="1"/>
    <xf numFmtId="0" fontId="0" fillId="0" borderId="29" xfId="0" applyBorder="1"/>
    <xf numFmtId="0" fontId="13" fillId="0" borderId="41" xfId="94" applyBorder="1"/>
    <xf numFmtId="0" fontId="13" fillId="0" borderId="9" xfId="94" applyBorder="1"/>
    <xf numFmtId="166" fontId="13" fillId="0" borderId="39" xfId="94" applyNumberFormat="1" applyBorder="1"/>
    <xf numFmtId="166" fontId="13" fillId="0" borderId="59" xfId="94" applyNumberFormat="1" applyBorder="1"/>
    <xf numFmtId="166" fontId="14" fillId="0" borderId="61" xfId="94" applyNumberFormat="1" applyFont="1" applyBorder="1" applyAlignment="1">
      <alignment wrapText="1"/>
    </xf>
    <xf numFmtId="166" fontId="9" fillId="0" borderId="0" xfId="0" applyNumberFormat="1" applyFont="1"/>
    <xf numFmtId="0" fontId="1" fillId="0" borderId="0" xfId="0" applyFont="1"/>
    <xf numFmtId="0" fontId="10" fillId="0" borderId="0" xfId="0" applyFont="1"/>
    <xf numFmtId="0" fontId="9" fillId="0" borderId="20" xfId="0" applyFont="1" applyBorder="1" applyAlignment="1">
      <alignment vertical="center" wrapText="1"/>
    </xf>
    <xf numFmtId="0" fontId="9" fillId="0" borderId="0" xfId="0" applyFont="1" applyAlignment="1">
      <alignment vertical="center" wrapText="1"/>
    </xf>
    <xf numFmtId="0" fontId="0" fillId="2" borderId="0" xfId="0" applyFill="1" applyAlignment="1">
      <alignment horizontal="center" vertical="top" wrapText="1"/>
    </xf>
    <xf numFmtId="0" fontId="0" fillId="2" borderId="0" xfId="0" applyFill="1" applyAlignment="1">
      <alignment horizontal="center" vertical="center" wrapText="1"/>
    </xf>
    <xf numFmtId="0" fontId="0" fillId="2" borderId="23" xfId="0" applyFill="1" applyBorder="1" applyAlignment="1">
      <alignment horizontal="center" vertical="center" wrapText="1"/>
    </xf>
    <xf numFmtId="0" fontId="9" fillId="0" borderId="33" xfId="0" applyFont="1" applyBorder="1" applyAlignment="1">
      <alignment horizontal="center"/>
    </xf>
    <xf numFmtId="0" fontId="9" fillId="0" borderId="34" xfId="0" applyFont="1" applyBorder="1" applyAlignment="1">
      <alignment horizontal="center"/>
    </xf>
    <xf numFmtId="0" fontId="9" fillId="0" borderId="18" xfId="0" applyFont="1" applyBorder="1" applyAlignment="1">
      <alignment horizontal="center"/>
    </xf>
    <xf numFmtId="0" fontId="0" fillId="2" borderId="0" xfId="0" applyFill="1" applyAlignment="1">
      <alignment horizontal="center" vertical="center"/>
    </xf>
    <xf numFmtId="0" fontId="0" fillId="2" borderId="23" xfId="0" applyFill="1" applyBorder="1" applyAlignment="1">
      <alignment horizontal="center" vertical="center"/>
    </xf>
    <xf numFmtId="0" fontId="0" fillId="2" borderId="0" xfId="0" applyFill="1" applyAlignment="1">
      <alignment horizontal="center" wrapText="1"/>
    </xf>
    <xf numFmtId="0" fontId="0" fillId="0" borderId="0" xfId="0" applyAlignment="1">
      <alignment horizontal="center" wrapText="1"/>
    </xf>
    <xf numFmtId="0" fontId="10" fillId="8" borderId="0" xfId="0" applyFont="1" applyFill="1" applyAlignment="1">
      <alignment horizontal="center"/>
    </xf>
  </cellXfs>
  <cellStyles count="97">
    <cellStyle name="Comma 2" xfId="92" xr:uid="{00000000-0005-0000-0000-000000000000}"/>
    <cellStyle name="Followed Hyperlink" xfId="2" builtinId="9" hidden="1"/>
    <cellStyle name="Followed Hyperlink" xfId="4" builtinId="9" hidden="1"/>
    <cellStyle name="Followed Hyperlink" xfId="6" builtinId="9" hidden="1"/>
    <cellStyle name="Followed Hyperlink" xfId="8" builtinId="9" hidden="1"/>
    <cellStyle name="Followed Hyperlink" xfId="10" builtinId="9" hidden="1"/>
    <cellStyle name="Followed Hyperlink" xfId="12" builtinId="9" hidden="1"/>
    <cellStyle name="Followed Hyperlink" xfId="14" builtinId="9" hidden="1"/>
    <cellStyle name="Followed Hyperlink" xfId="16" builtinId="9" hidden="1"/>
    <cellStyle name="Followed Hyperlink" xfId="18" builtinId="9" hidden="1"/>
    <cellStyle name="Followed Hyperlink" xfId="20" builtinId="9" hidden="1"/>
    <cellStyle name="Followed Hyperlink" xfId="22" builtinId="9" hidden="1"/>
    <cellStyle name="Followed Hyperlink" xfId="24" builtinId="9" hidden="1"/>
    <cellStyle name="Followed Hyperlink" xfId="26" builtinId="9" hidden="1"/>
    <cellStyle name="Followed Hyperlink" xfId="28" builtinId="9" hidden="1"/>
    <cellStyle name="Followed Hyperlink" xfId="30" builtinId="9" hidden="1"/>
    <cellStyle name="Followed Hyperlink" xfId="32" builtinId="9" hidden="1"/>
    <cellStyle name="Followed Hyperlink" xfId="34" builtinId="9" hidden="1"/>
    <cellStyle name="Followed Hyperlink" xfId="36" builtinId="9" hidden="1"/>
    <cellStyle name="Followed Hyperlink" xfId="38" builtinId="9" hidden="1"/>
    <cellStyle name="Followed Hyperlink" xfId="40" builtinId="9" hidden="1"/>
    <cellStyle name="Followed Hyperlink" xfId="42" builtinId="9" hidden="1"/>
    <cellStyle name="Followed Hyperlink" xfId="44" builtinId="9" hidden="1"/>
    <cellStyle name="Followed Hyperlink" xfId="46" builtinId="9" hidden="1"/>
    <cellStyle name="Followed Hyperlink" xfId="48" builtinId="9" hidden="1"/>
    <cellStyle name="Followed Hyperlink" xfId="50" builtinId="9" hidden="1"/>
    <cellStyle name="Followed Hyperlink" xfId="52" builtinId="9" hidden="1"/>
    <cellStyle name="Followed Hyperlink" xfId="54" builtinId="9" hidden="1"/>
    <cellStyle name="Followed Hyperlink" xfId="56" builtinId="9" hidden="1"/>
    <cellStyle name="Followed Hyperlink" xfId="58" builtinId="9" hidden="1"/>
    <cellStyle name="Followed Hyperlink" xfId="60" builtinId="9" hidden="1"/>
    <cellStyle name="Followed Hyperlink" xfId="62" builtinId="9" hidden="1"/>
    <cellStyle name="Followed Hyperlink" xfId="64" builtinId="9" hidden="1"/>
    <cellStyle name="Followed Hyperlink" xfId="66" builtinId="9" hidden="1"/>
    <cellStyle name="Followed Hyperlink" xfId="68" builtinId="9" hidden="1"/>
    <cellStyle name="Followed Hyperlink" xfId="70" builtinId="9" hidden="1"/>
    <cellStyle name="Followed Hyperlink" xfId="72" builtinId="9" hidden="1"/>
    <cellStyle name="Followed Hyperlink" xfId="74" builtinId="9" hidden="1"/>
    <cellStyle name="Followed Hyperlink" xfId="76" builtinId="9" hidden="1"/>
    <cellStyle name="Followed Hyperlink" xfId="78" builtinId="9" hidden="1"/>
    <cellStyle name="Followed Hyperlink" xfId="80" builtinId="9" hidden="1"/>
    <cellStyle name="Followed Hyperlink" xfId="82" builtinId="9" hidden="1"/>
    <cellStyle name="Followed Hyperlink" xfId="84" builtinId="9" hidden="1"/>
    <cellStyle name="Followed Hyperlink" xfId="86" builtinId="9" hidden="1"/>
    <cellStyle name="Followed Hyperlink" xfId="88" builtinId="9" hidden="1"/>
    <cellStyle name="Followed Hyperlink" xfId="90" builtinId="9" hidden="1"/>
    <cellStyle name="Hyperlink" xfId="1" builtinId="8" hidden="1"/>
    <cellStyle name="Hyperlink" xfId="3" builtinId="8" hidden="1"/>
    <cellStyle name="Hyperlink" xfId="5" builtinId="8" hidden="1"/>
    <cellStyle name="Hyperlink" xfId="7" builtinId="8" hidden="1"/>
    <cellStyle name="Hyperlink" xfId="9" builtinId="8" hidden="1"/>
    <cellStyle name="Hyperlink" xfId="11" builtinId="8" hidden="1"/>
    <cellStyle name="Hyperlink" xfId="13" builtinId="8" hidden="1"/>
    <cellStyle name="Hyperlink" xfId="15" builtinId="8" hidden="1"/>
    <cellStyle name="Hyperlink" xfId="17" builtinId="8" hidden="1"/>
    <cellStyle name="Hyperlink" xfId="19" builtinId="8" hidden="1"/>
    <cellStyle name="Hyperlink" xfId="21" builtinId="8" hidden="1"/>
    <cellStyle name="Hyperlink" xfId="23" builtinId="8" hidden="1"/>
    <cellStyle name="Hyperlink" xfId="25" builtinId="8" hidden="1"/>
    <cellStyle name="Hyperlink" xfId="27" builtinId="8" hidden="1"/>
    <cellStyle name="Hyperlink" xfId="29" builtinId="8" hidden="1"/>
    <cellStyle name="Hyperlink" xfId="31" builtinId="8" hidden="1"/>
    <cellStyle name="Hyperlink" xfId="33" builtinId="8" hidden="1"/>
    <cellStyle name="Hyperlink" xfId="35" builtinId="8" hidden="1"/>
    <cellStyle name="Hyperlink" xfId="37" builtinId="8" hidden="1"/>
    <cellStyle name="Hyperlink" xfId="39" builtinId="8" hidden="1"/>
    <cellStyle name="Hyperlink" xfId="41" builtinId="8" hidden="1"/>
    <cellStyle name="Hyperlink" xfId="43" builtinId="8" hidden="1"/>
    <cellStyle name="Hyperlink" xfId="45" builtinId="8" hidden="1"/>
    <cellStyle name="Hyperlink" xfId="47" builtinId="8" hidden="1"/>
    <cellStyle name="Hyperlink" xfId="49" builtinId="8" hidden="1"/>
    <cellStyle name="Hyperlink" xfId="51" builtinId="8" hidden="1"/>
    <cellStyle name="Hyperlink" xfId="53" builtinId="8" hidden="1"/>
    <cellStyle name="Hyperlink" xfId="55" builtinId="8" hidden="1"/>
    <cellStyle name="Hyperlink" xfId="57" builtinId="8" hidden="1"/>
    <cellStyle name="Hyperlink" xfId="59" builtinId="8" hidden="1"/>
    <cellStyle name="Hyperlink" xfId="61" builtinId="8" hidden="1"/>
    <cellStyle name="Hyperlink" xfId="63" builtinId="8" hidden="1"/>
    <cellStyle name="Hyperlink" xfId="65" builtinId="8" hidden="1"/>
    <cellStyle name="Hyperlink" xfId="67" builtinId="8" hidden="1"/>
    <cellStyle name="Hyperlink" xfId="69" builtinId="8" hidden="1"/>
    <cellStyle name="Hyperlink" xfId="71" builtinId="8" hidden="1"/>
    <cellStyle name="Hyperlink" xfId="73" builtinId="8" hidden="1"/>
    <cellStyle name="Hyperlink" xfId="75" builtinId="8" hidden="1"/>
    <cellStyle name="Hyperlink" xfId="77" builtinId="8" hidden="1"/>
    <cellStyle name="Hyperlink" xfId="79" builtinId="8" hidden="1"/>
    <cellStyle name="Hyperlink" xfId="81" builtinId="8" hidden="1"/>
    <cellStyle name="Hyperlink" xfId="83" builtinId="8" hidden="1"/>
    <cellStyle name="Hyperlink" xfId="85" builtinId="8" hidden="1"/>
    <cellStyle name="Hyperlink" xfId="87" builtinId="8" hidden="1"/>
    <cellStyle name="Hyperlink" xfId="89" builtinId="8" hidden="1"/>
    <cellStyle name="Normal" xfId="0" builtinId="0"/>
    <cellStyle name="Normal 2" xfId="91" xr:uid="{00000000-0005-0000-0000-00005C000000}"/>
    <cellStyle name="Normal 2 2" xfId="94" xr:uid="{3360A7AF-A590-45B8-B575-FE3ED16F2727}"/>
    <cellStyle name="Normal 2 3" xfId="96" xr:uid="{E7775CA5-6E76-0449-801A-7A2E50096206}"/>
    <cellStyle name="Percent" xfId="95" builtinId="5"/>
    <cellStyle name="Percent 2" xfId="93" xr:uid="{00000000-0005-0000-0000-00005D000000}"/>
  </cellStyles>
  <dxfs count="6"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[BA Project.xlsx]Pivot Table and Chart Pt1!PivotTable5</c:name>
    <c:fmtId val="1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Monthly Historic Demand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3"/>
        <c:spPr>
          <a:solidFill>
            <a:schemeClr val="accent1"/>
          </a:solidFill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4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5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6"/>
        <c:spPr>
          <a:ln w="28575" cap="rnd">
            <a:solidFill>
              <a:schemeClr val="accent1"/>
            </a:solidFill>
            <a:round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lineChart>
        <c:grouping val="standard"/>
        <c:varyColors val="0"/>
        <c:ser>
          <c:idx val="0"/>
          <c:order val="0"/>
          <c:tx>
            <c:strRef>
              <c:f>'Pivot Table and Chart Pt1'!$E$2:$E$3</c:f>
              <c:strCache>
                <c:ptCount val="1"/>
                <c:pt idx="0">
                  <c:v>2020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Pt1'!$E$4:$E$16</c:f>
              <c:numCache>
                <c:formatCode>General</c:formatCode>
                <c:ptCount val="12"/>
                <c:pt idx="0">
                  <c:v>2395</c:v>
                </c:pt>
                <c:pt idx="1">
                  <c:v>2584</c:v>
                </c:pt>
                <c:pt idx="2">
                  <c:v>2681</c:v>
                </c:pt>
                <c:pt idx="3">
                  <c:v>3002</c:v>
                </c:pt>
                <c:pt idx="4">
                  <c:v>3473</c:v>
                </c:pt>
                <c:pt idx="5">
                  <c:v>3358</c:v>
                </c:pt>
                <c:pt idx="6">
                  <c:v>1201</c:v>
                </c:pt>
                <c:pt idx="7">
                  <c:v>2549</c:v>
                </c:pt>
                <c:pt idx="8">
                  <c:v>3012</c:v>
                </c:pt>
                <c:pt idx="9">
                  <c:v>3561</c:v>
                </c:pt>
                <c:pt idx="10">
                  <c:v>3432</c:v>
                </c:pt>
                <c:pt idx="11">
                  <c:v>4515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9-0CEB-5C4B-A54C-08B4890F0EEB}"/>
            </c:ext>
          </c:extLst>
        </c:ser>
        <c:ser>
          <c:idx val="1"/>
          <c:order val="1"/>
          <c:tx>
            <c:strRef>
              <c:f>'Pivot Table and Chart Pt1'!$F$2:$F$3</c:f>
              <c:strCache>
                <c:ptCount val="1"/>
                <c:pt idx="0">
                  <c:v>2021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Pt1'!$F$4:$F$16</c:f>
              <c:numCache>
                <c:formatCode>General</c:formatCode>
                <c:ptCount val="12"/>
                <c:pt idx="0">
                  <c:v>2434</c:v>
                </c:pt>
                <c:pt idx="1">
                  <c:v>2627</c:v>
                </c:pt>
                <c:pt idx="2">
                  <c:v>2710</c:v>
                </c:pt>
                <c:pt idx="3">
                  <c:v>2986</c:v>
                </c:pt>
                <c:pt idx="4">
                  <c:v>3602</c:v>
                </c:pt>
                <c:pt idx="5">
                  <c:v>3487</c:v>
                </c:pt>
                <c:pt idx="6">
                  <c:v>2626</c:v>
                </c:pt>
                <c:pt idx="7">
                  <c:v>3045</c:v>
                </c:pt>
                <c:pt idx="8">
                  <c:v>3044</c:v>
                </c:pt>
                <c:pt idx="9">
                  <c:v>3794</c:v>
                </c:pt>
                <c:pt idx="10">
                  <c:v>4275</c:v>
                </c:pt>
                <c:pt idx="11">
                  <c:v>5001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CEB-5C4B-A54C-08B4890F0EEB}"/>
            </c:ext>
          </c:extLst>
        </c:ser>
        <c:ser>
          <c:idx val="2"/>
          <c:order val="2"/>
          <c:tx>
            <c:strRef>
              <c:f>'Pivot Table and Chart Pt1'!$G$2:$G$3</c:f>
              <c:strCache>
                <c:ptCount val="1"/>
                <c:pt idx="0">
                  <c:v>2022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0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cat>
            <c:strRef>
              <c:f>'Pivot Table and Chart Pt1'!$D$4:$D$16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'Pivot Table and Chart Pt1'!$G$4:$G$16</c:f>
              <c:numCache>
                <c:formatCode>General</c:formatCode>
                <c:ptCount val="12"/>
                <c:pt idx="0">
                  <c:v>2476</c:v>
                </c:pt>
                <c:pt idx="1">
                  <c:v>3039</c:v>
                </c:pt>
                <c:pt idx="2">
                  <c:v>3050</c:v>
                </c:pt>
                <c:pt idx="3">
                  <c:v>3431</c:v>
                </c:pt>
                <c:pt idx="4">
                  <c:v>3712</c:v>
                </c:pt>
                <c:pt idx="5">
                  <c:v>3915</c:v>
                </c:pt>
                <c:pt idx="6">
                  <c:v>2983</c:v>
                </c:pt>
                <c:pt idx="7">
                  <c:v>3305</c:v>
                </c:pt>
                <c:pt idx="8">
                  <c:v>3325</c:v>
                </c:pt>
                <c:pt idx="9">
                  <c:v>4508</c:v>
                </c:pt>
                <c:pt idx="10">
                  <c:v>4691</c:v>
                </c:pt>
                <c:pt idx="11">
                  <c:v>6504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B-0CEB-5C4B-A54C-08B4890F0EE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100153135"/>
        <c:axId val="1058485583"/>
      </c:lineChart>
      <c:catAx>
        <c:axId val="110015313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58485583"/>
        <c:crosses val="autoZero"/>
        <c:auto val="1"/>
        <c:lblAlgn val="ctr"/>
        <c:lblOffset val="100"/>
        <c:noMultiLvlLbl val="0"/>
      </c:catAx>
      <c:valAx>
        <c:axId val="1058485583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0015313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r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184150</xdr:colOff>
      <xdr:row>10</xdr:row>
      <xdr:rowOff>69850</xdr:rowOff>
    </xdr:from>
    <xdr:to>
      <xdr:col>16</xdr:col>
      <xdr:colOff>44450</xdr:colOff>
      <xdr:row>23</xdr:row>
      <xdr:rowOff>171450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E4F1247-D912-1AD2-38A6-E27B428F91A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Wadhwan" refreshedDate="45954.971281134262" createdVersion="8" refreshedVersion="8" minRefreshableVersion="3" recordCount="36" xr:uid="{BCA7791A-2E90-DB4D-8F95-A2B2D57E592C}">
  <cacheSource type="worksheet">
    <worksheetSource ref="A1:B37" sheet="Pivot Table and Chart Pt1"/>
  </cacheSource>
  <cacheFields count="5">
    <cacheField name="Month" numFmtId="14">
      <sharedItems containsSemiMixedTypes="0" containsNonDate="0" containsDate="1" containsString="0" minDate="2020-01-01T00:00:00" maxDate="2022-12-02T00:00:00" count="36">
        <d v="2020-01-01T00:00:00"/>
        <d v="2020-02-01T00:00:00"/>
        <d v="2020-03-01T00:00:00"/>
        <d v="2020-04-01T00:00:00"/>
        <d v="2020-05-01T00:00:00"/>
        <d v="2020-06-01T00:00:00"/>
        <d v="2020-07-01T00:00:00"/>
        <d v="2020-08-01T00:00:00"/>
        <d v="2020-09-01T00:00:00"/>
        <d v="2020-10-01T00:00:00"/>
        <d v="2020-11-01T00:00:00"/>
        <d v="2020-12-01T00:00:00"/>
        <d v="2021-01-01T00:00:00"/>
        <d v="2021-02-01T00:00:00"/>
        <d v="2021-03-01T00:00:00"/>
        <d v="2021-04-01T00:00:00"/>
        <d v="2021-05-01T00:00:00"/>
        <d v="2021-06-01T00:00:00"/>
        <d v="2021-07-01T00:00:00"/>
        <d v="2021-08-01T00:00:00"/>
        <d v="2021-09-01T00:00:00"/>
        <d v="2021-10-01T00:00:00"/>
        <d v="2021-11-01T00:00:00"/>
        <d v="2021-12-01T00:00:00"/>
        <d v="2022-01-01T00:00:00"/>
        <d v="2022-02-01T00:00:00"/>
        <d v="2022-03-01T00:00:00"/>
        <d v="2022-04-01T00:00:00"/>
        <d v="2022-05-01T00:00:00"/>
        <d v="2022-06-01T00:00:00"/>
        <d v="2022-07-01T00:00:00"/>
        <d v="2022-08-01T00:00:00"/>
        <d v="2022-09-01T00:00:00"/>
        <d v="2022-10-01T00:00:00"/>
        <d v="2022-11-01T00:00:00"/>
        <d v="2022-12-01T00:00:00"/>
      </sharedItems>
      <fieldGroup par="4"/>
    </cacheField>
    <cacheField name="Demand" numFmtId="0">
      <sharedItems containsSemiMixedTypes="0" containsString="0" containsNumber="1" containsInteger="1" minValue="1201" maxValue="6504"/>
    </cacheField>
    <cacheField name="Months (Month)" numFmtId="0" databaseField="0">
      <fieldGroup base="0">
        <rangePr groupBy="months" startDate="2020-01-01T00:00:00" endDate="2022-12-02T00:00:00"/>
        <groupItems count="14">
          <s v="&lt;1/1/20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12/2/22"/>
        </groupItems>
      </fieldGroup>
    </cacheField>
    <cacheField name="Quarters (Month)" numFmtId="0" databaseField="0">
      <fieldGroup base="0">
        <rangePr groupBy="quarters" startDate="2020-01-01T00:00:00" endDate="2022-12-02T00:00:00"/>
        <groupItems count="6">
          <s v="&lt;1/1/20"/>
          <s v="Qtr1"/>
          <s v="Qtr2"/>
          <s v="Qtr3"/>
          <s v="Qtr4"/>
          <s v="&gt;12/2/22"/>
        </groupItems>
      </fieldGroup>
    </cacheField>
    <cacheField name="Years (Month)" numFmtId="0" databaseField="0">
      <fieldGroup base="0">
        <rangePr groupBy="years" startDate="2020-01-01T00:00:00" endDate="2022-12-02T00:00:00"/>
        <groupItems count="5">
          <s v="&lt;1/1/20"/>
          <s v="2020"/>
          <s v="2021"/>
          <s v="2022"/>
          <s v="&gt;12/2/22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kanksha Wadhwan" refreshedDate="45954.986607060186" createdVersion="8" refreshedVersion="8" minRefreshableVersion="3" recordCount="18" xr:uid="{FABBF10F-6651-1A47-AADE-9623F49599C1}">
  <cacheSource type="worksheet">
    <worksheetSource ref="B6:C24" sheet="Financial information 1 Pt1"/>
  </cacheSource>
  <cacheFields count="2">
    <cacheField name="Profit Model label" numFmtId="0">
      <sharedItems count="5">
        <s v="Rev: Coffee"/>
        <s v="Rev: Donut"/>
        <s v="Variable  Expense: Donut"/>
        <s v="Fixed Expense"/>
        <s v="Variable  Expense: Coffee"/>
      </sharedItems>
    </cacheField>
    <cacheField name="Expense/revenue" numFmtId="166">
      <sharedItems containsSemiMixedTypes="0" containsString="0" containsNumber="1" minValue="0" maxValue="240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36">
  <r>
    <x v="0"/>
    <n v="2395"/>
  </r>
  <r>
    <x v="1"/>
    <n v="2584"/>
  </r>
  <r>
    <x v="2"/>
    <n v="2681"/>
  </r>
  <r>
    <x v="3"/>
    <n v="3002"/>
  </r>
  <r>
    <x v="4"/>
    <n v="3473"/>
  </r>
  <r>
    <x v="5"/>
    <n v="3358"/>
  </r>
  <r>
    <x v="6"/>
    <n v="1201"/>
  </r>
  <r>
    <x v="7"/>
    <n v="2549"/>
  </r>
  <r>
    <x v="8"/>
    <n v="3012"/>
  </r>
  <r>
    <x v="9"/>
    <n v="3561"/>
  </r>
  <r>
    <x v="10"/>
    <n v="3432"/>
  </r>
  <r>
    <x v="11"/>
    <n v="4515"/>
  </r>
  <r>
    <x v="12"/>
    <n v="2434"/>
  </r>
  <r>
    <x v="13"/>
    <n v="2627"/>
  </r>
  <r>
    <x v="14"/>
    <n v="2710"/>
  </r>
  <r>
    <x v="15"/>
    <n v="2986"/>
  </r>
  <r>
    <x v="16"/>
    <n v="3602"/>
  </r>
  <r>
    <x v="17"/>
    <n v="3487"/>
  </r>
  <r>
    <x v="18"/>
    <n v="2626"/>
  </r>
  <r>
    <x v="19"/>
    <n v="3045"/>
  </r>
  <r>
    <x v="20"/>
    <n v="3044"/>
  </r>
  <r>
    <x v="21"/>
    <n v="3794"/>
  </r>
  <r>
    <x v="22"/>
    <n v="4275"/>
  </r>
  <r>
    <x v="23"/>
    <n v="5001"/>
  </r>
  <r>
    <x v="24"/>
    <n v="2476"/>
  </r>
  <r>
    <x v="25"/>
    <n v="3039"/>
  </r>
  <r>
    <x v="26"/>
    <n v="3050"/>
  </r>
  <r>
    <x v="27"/>
    <n v="3431"/>
  </r>
  <r>
    <x v="28"/>
    <n v="3712"/>
  </r>
  <r>
    <x v="29"/>
    <n v="3915"/>
  </r>
  <r>
    <x v="30"/>
    <n v="2983"/>
  </r>
  <r>
    <x v="31"/>
    <n v="3305"/>
  </r>
  <r>
    <x v="32"/>
    <n v="3325"/>
  </r>
  <r>
    <x v="33"/>
    <n v="4508"/>
  </r>
  <r>
    <x v="34"/>
    <n v="4691"/>
  </r>
  <r>
    <x v="35"/>
    <n v="6504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8">
  <r>
    <x v="0"/>
    <n v="2.99"/>
  </r>
  <r>
    <x v="1"/>
    <n v="2.5"/>
  </r>
  <r>
    <x v="2"/>
    <n v="0.5"/>
  </r>
  <r>
    <x v="2"/>
    <n v="0.1"/>
  </r>
  <r>
    <x v="3"/>
    <n v="300"/>
  </r>
  <r>
    <x v="3"/>
    <n v="0"/>
  </r>
  <r>
    <x v="3"/>
    <n v="100"/>
  </r>
  <r>
    <x v="4"/>
    <n v="0.35"/>
  </r>
  <r>
    <x v="4"/>
    <n v="0.15"/>
  </r>
  <r>
    <x v="3"/>
    <n v="2400"/>
  </r>
  <r>
    <x v="3"/>
    <n v="1200"/>
  </r>
  <r>
    <x v="3"/>
    <n v="500"/>
  </r>
  <r>
    <x v="3"/>
    <n v="50"/>
  </r>
  <r>
    <x v="3"/>
    <n v="25"/>
  </r>
  <r>
    <x v="3"/>
    <n v="0"/>
  </r>
  <r>
    <x v="3"/>
    <n v="1000"/>
  </r>
  <r>
    <x v="3"/>
    <n v="25"/>
  </r>
  <r>
    <x v="3"/>
    <n v="20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7703F34-D680-1E4C-AD18-9A32A5FC6423}" name="PivotTable7" cacheId="7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E5:F11" firstHeaderRow="1" firstDataRow="1" firstDataCol="1"/>
  <pivotFields count="2">
    <pivotField axis="axisRow" showAll="0">
      <items count="6">
        <item x="3"/>
        <item x="0"/>
        <item x="1"/>
        <item x="4"/>
        <item x="2"/>
        <item t="default"/>
      </items>
    </pivotField>
    <pivotField dataField="1" numFmtId="166" showAll="0"/>
  </pivotFields>
  <rowFields count="1">
    <field x="0"/>
  </rowFields>
  <rowItems count="6">
    <i>
      <x/>
    </i>
    <i>
      <x v="1"/>
    </i>
    <i>
      <x v="2"/>
    </i>
    <i>
      <x v="3"/>
    </i>
    <i>
      <x v="4"/>
    </i>
    <i t="grand">
      <x/>
    </i>
  </rowItems>
  <colItems count="1">
    <i/>
  </colItems>
  <dataFields count="1">
    <dataField name="Sum of Expense/revenue" fld="1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11A7D5E-5B99-7646-9C79-8267A0F3F1DC}" name="PivotTable5" cacheId="6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5">
  <location ref="D2:H16" firstHeaderRow="1" firstDataRow="2" firstDataCol="1"/>
  <pivotFields count="5">
    <pivotField numFmtId="14" showAll="0">
      <items count="37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t="default"/>
      </items>
    </pivotField>
    <pivotField dataField="1" showAll="0"/>
    <pivotField axis="axisRow" showAll="0">
      <items count="15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Col" showAll="0">
      <items count="6">
        <item sd="0" x="0"/>
        <item sd="0" x="1"/>
        <item sd="0" x="2"/>
        <item sd="0" x="3"/>
        <item sd="0" x="4"/>
        <item t="default"/>
      </items>
    </pivotField>
  </pivotFields>
  <rowFields count="1">
    <field x="2"/>
  </rowFields>
  <rowItems count="13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 t="grand">
      <x/>
    </i>
  </rowItems>
  <colFields count="1">
    <field x="4"/>
  </colFields>
  <colItems count="4">
    <i>
      <x v="1"/>
    </i>
    <i>
      <x v="2"/>
    </i>
    <i>
      <x v="3"/>
    </i>
    <i t="grand">
      <x/>
    </i>
  </colItems>
  <dataFields count="1">
    <dataField name="Sum of Demand" fld="1" baseField="0" baseItem="0"/>
  </dataFields>
  <chartFormats count="3">
    <chartFormat chart="1" format="4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1" format="5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  <chartFormat chart="1" format="6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3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E133"/>
  <sheetViews>
    <sheetView workbookViewId="0">
      <selection activeCell="C7" sqref="C7"/>
    </sheetView>
  </sheetViews>
  <sheetFormatPr baseColWidth="10" defaultColWidth="8.83203125" defaultRowHeight="15" x14ac:dyDescent="0.2"/>
  <cols>
    <col min="1" max="3" width="14.5" style="1" customWidth="1"/>
    <col min="4" max="4" width="32.1640625" style="1" customWidth="1"/>
  </cols>
  <sheetData>
    <row r="1" spans="1:5" x14ac:dyDescent="0.2">
      <c r="A1" s="4" t="s">
        <v>2</v>
      </c>
      <c r="E1" t="s">
        <v>101</v>
      </c>
    </row>
    <row r="2" spans="1:5" x14ac:dyDescent="0.2">
      <c r="A2" s="2" t="s">
        <v>3</v>
      </c>
      <c r="B2" s="2" t="s">
        <v>0</v>
      </c>
      <c r="C2" s="2" t="s">
        <v>1</v>
      </c>
      <c r="D2" s="2" t="s">
        <v>4</v>
      </c>
      <c r="E2" t="s">
        <v>104</v>
      </c>
    </row>
    <row r="3" spans="1:5" x14ac:dyDescent="0.2">
      <c r="A3" s="2" t="s">
        <v>105</v>
      </c>
      <c r="B3" s="2" t="s">
        <v>100</v>
      </c>
      <c r="C3" s="2">
        <v>202020202</v>
      </c>
      <c r="D3" s="57">
        <v>44459.23012847222</v>
      </c>
      <c r="E3" t="s">
        <v>103</v>
      </c>
    </row>
    <row r="4" spans="1:5" x14ac:dyDescent="0.2">
      <c r="A4" t="s">
        <v>5</v>
      </c>
      <c r="B4" t="s">
        <v>6</v>
      </c>
      <c r="C4">
        <v>0</v>
      </c>
      <c r="D4" s="7">
        <v>43831</v>
      </c>
    </row>
    <row r="5" spans="1:5" x14ac:dyDescent="0.2">
      <c r="A5"/>
      <c r="B5"/>
      <c r="C5"/>
      <c r="D5" s="7"/>
      <c r="E5" t="s">
        <v>102</v>
      </c>
    </row>
    <row r="6" spans="1:5" x14ac:dyDescent="0.2">
      <c r="A6"/>
      <c r="B6"/>
      <c r="C6"/>
      <c r="D6" s="7"/>
    </row>
    <row r="7" spans="1:5" x14ac:dyDescent="0.2">
      <c r="A7"/>
      <c r="B7"/>
      <c r="C7"/>
      <c r="D7" s="7"/>
    </row>
    <row r="8" spans="1:5" x14ac:dyDescent="0.2">
      <c r="A8"/>
      <c r="B8"/>
      <c r="C8"/>
      <c r="D8" s="7"/>
    </row>
    <row r="9" spans="1:5" x14ac:dyDescent="0.2">
      <c r="A9"/>
      <c r="B9"/>
      <c r="C9" s="7"/>
      <c r="D9"/>
    </row>
    <row r="10" spans="1:5" x14ac:dyDescent="0.2">
      <c r="A10"/>
      <c r="B10"/>
      <c r="C10" s="7"/>
      <c r="D10"/>
    </row>
    <row r="11" spans="1:5" x14ac:dyDescent="0.2">
      <c r="A11"/>
      <c r="B11"/>
      <c r="C11" s="7"/>
      <c r="D11"/>
    </row>
    <row r="12" spans="1:5" x14ac:dyDescent="0.2">
      <c r="A12"/>
      <c r="B12"/>
      <c r="C12" s="7"/>
      <c r="D12"/>
    </row>
    <row r="13" spans="1:5" x14ac:dyDescent="0.2">
      <c r="A13"/>
      <c r="B13"/>
      <c r="C13" s="7"/>
      <c r="D13"/>
    </row>
    <row r="14" spans="1:5" x14ac:dyDescent="0.2">
      <c r="A14"/>
      <c r="B14"/>
      <c r="C14" s="7"/>
      <c r="D14"/>
    </row>
    <row r="15" spans="1:5" x14ac:dyDescent="0.2">
      <c r="A15"/>
      <c r="B15"/>
      <c r="C15" s="7"/>
      <c r="D15"/>
    </row>
    <row r="16" spans="1:5" x14ac:dyDescent="0.2">
      <c r="A16"/>
      <c r="B16"/>
      <c r="C16" s="7"/>
      <c r="D16"/>
    </row>
    <row r="17" spans="1:4" x14ac:dyDescent="0.2">
      <c r="A17"/>
      <c r="B17"/>
      <c r="C17" s="7"/>
      <c r="D17"/>
    </row>
    <row r="18" spans="1:4" x14ac:dyDescent="0.2">
      <c r="A18"/>
      <c r="B18"/>
      <c r="C18" s="7"/>
      <c r="D18"/>
    </row>
    <row r="19" spans="1:4" x14ac:dyDescent="0.2">
      <c r="A19"/>
      <c r="B19"/>
      <c r="C19" s="7"/>
      <c r="D19"/>
    </row>
    <row r="20" spans="1:4" x14ac:dyDescent="0.2">
      <c r="C20" s="5"/>
    </row>
    <row r="21" spans="1:4" x14ac:dyDescent="0.2">
      <c r="C21" s="5"/>
    </row>
    <row r="22" spans="1:4" x14ac:dyDescent="0.2">
      <c r="A22" s="2"/>
      <c r="B22" s="2"/>
      <c r="C22" s="3"/>
      <c r="D22" s="2"/>
    </row>
    <row r="23" spans="1:4" x14ac:dyDescent="0.2">
      <c r="A23" s="2"/>
      <c r="B23" s="2"/>
      <c r="C23" s="3"/>
      <c r="D23" s="2"/>
    </row>
    <row r="24" spans="1:4" x14ac:dyDescent="0.2">
      <c r="A24" s="2"/>
      <c r="B24" s="2"/>
      <c r="C24" s="3"/>
      <c r="D24" s="2"/>
    </row>
    <row r="25" spans="1:4" x14ac:dyDescent="0.2">
      <c r="C25" s="5"/>
    </row>
    <row r="26" spans="1:4" x14ac:dyDescent="0.2">
      <c r="A26" s="2"/>
      <c r="B26" s="2"/>
      <c r="C26" s="3"/>
      <c r="D26" s="2"/>
    </row>
    <row r="27" spans="1:4" x14ac:dyDescent="0.2">
      <c r="A27" s="2"/>
      <c r="B27" s="2"/>
      <c r="C27" s="3"/>
      <c r="D27" s="2"/>
    </row>
    <row r="28" spans="1:4" x14ac:dyDescent="0.2">
      <c r="A28" s="2"/>
      <c r="B28" s="2"/>
      <c r="C28" s="3"/>
      <c r="D28" s="2"/>
    </row>
    <row r="29" spans="1:4" x14ac:dyDescent="0.2">
      <c r="A29" s="2"/>
      <c r="B29" s="2"/>
      <c r="C29" s="3"/>
      <c r="D29" s="2"/>
    </row>
    <row r="30" spans="1:4" x14ac:dyDescent="0.2">
      <c r="A30" s="2"/>
      <c r="B30" s="2"/>
      <c r="C30" s="3"/>
      <c r="D30" s="2"/>
    </row>
    <row r="31" spans="1:4" x14ac:dyDescent="0.2">
      <c r="A31" s="2"/>
      <c r="B31" s="2"/>
      <c r="C31" s="3"/>
      <c r="D31" s="2"/>
    </row>
    <row r="32" spans="1:4" x14ac:dyDescent="0.2">
      <c r="A32" s="2"/>
      <c r="B32" s="2"/>
      <c r="C32" s="3"/>
      <c r="D32" s="2"/>
    </row>
    <row r="33" spans="1:4" x14ac:dyDescent="0.2">
      <c r="A33" s="2"/>
      <c r="B33" s="2"/>
      <c r="C33" s="3"/>
      <c r="D33" s="2"/>
    </row>
    <row r="34" spans="1:4" x14ac:dyDescent="0.2">
      <c r="A34" s="2"/>
      <c r="B34" s="2"/>
      <c r="C34" s="3"/>
      <c r="D34" s="2"/>
    </row>
    <row r="35" spans="1:4" x14ac:dyDescent="0.2">
      <c r="A35" s="2"/>
      <c r="B35" s="2"/>
      <c r="C35" s="3"/>
      <c r="D35" s="2"/>
    </row>
    <row r="36" spans="1:4" x14ac:dyDescent="0.2">
      <c r="A36" s="2"/>
      <c r="B36" s="2"/>
      <c r="C36" s="3"/>
      <c r="D36" s="2"/>
    </row>
    <row r="37" spans="1:4" x14ac:dyDescent="0.2">
      <c r="A37" s="2"/>
      <c r="B37" s="2"/>
      <c r="C37" s="3"/>
      <c r="D37" s="2"/>
    </row>
    <row r="38" spans="1:4" x14ac:dyDescent="0.2">
      <c r="A38" s="2"/>
      <c r="B38" s="2"/>
      <c r="C38" s="3"/>
      <c r="D38" s="2"/>
    </row>
    <row r="39" spans="1:4" x14ac:dyDescent="0.2">
      <c r="A39" s="2"/>
      <c r="B39" s="2"/>
      <c r="C39" s="3"/>
      <c r="D39" s="2"/>
    </row>
    <row r="40" spans="1:4" x14ac:dyDescent="0.2">
      <c r="A40" s="2"/>
      <c r="B40" s="2"/>
      <c r="C40" s="3"/>
      <c r="D40" s="2"/>
    </row>
    <row r="41" spans="1:4" x14ac:dyDescent="0.2">
      <c r="A41" s="2"/>
      <c r="B41" s="2"/>
      <c r="C41" s="3"/>
      <c r="D41" s="2"/>
    </row>
    <row r="42" spans="1:4" x14ac:dyDescent="0.2">
      <c r="A42" s="2"/>
      <c r="B42" s="2"/>
      <c r="C42" s="3"/>
      <c r="D42" s="2"/>
    </row>
    <row r="43" spans="1:4" x14ac:dyDescent="0.2">
      <c r="A43" s="2"/>
      <c r="B43" s="2"/>
      <c r="C43" s="3"/>
      <c r="D43" s="2"/>
    </row>
    <row r="44" spans="1:4" x14ac:dyDescent="0.2">
      <c r="A44" s="2"/>
      <c r="B44" s="2"/>
      <c r="C44" s="3"/>
      <c r="D44" s="2"/>
    </row>
    <row r="45" spans="1:4" x14ac:dyDescent="0.2">
      <c r="A45" s="2"/>
      <c r="B45" s="2"/>
      <c r="C45" s="3"/>
      <c r="D45" s="2"/>
    </row>
    <row r="46" spans="1:4" x14ac:dyDescent="0.2">
      <c r="A46" s="2"/>
      <c r="B46" s="2"/>
      <c r="C46" s="3"/>
      <c r="D46" s="2"/>
    </row>
    <row r="47" spans="1:4" x14ac:dyDescent="0.2">
      <c r="A47" s="2"/>
      <c r="B47" s="2"/>
      <c r="C47" s="3"/>
      <c r="D47" s="2"/>
    </row>
    <row r="48" spans="1:4" x14ac:dyDescent="0.2">
      <c r="A48" s="2"/>
      <c r="B48" s="2"/>
      <c r="C48" s="3"/>
      <c r="D48" s="2"/>
    </row>
    <row r="49" spans="1:4" x14ac:dyDescent="0.2">
      <c r="A49" s="2"/>
      <c r="B49" s="2"/>
      <c r="C49" s="3"/>
      <c r="D49" s="2"/>
    </row>
    <row r="50" spans="1:4" x14ac:dyDescent="0.2">
      <c r="A50" s="2"/>
      <c r="B50" s="2"/>
      <c r="C50" s="3"/>
      <c r="D50" s="2"/>
    </row>
    <row r="51" spans="1:4" x14ac:dyDescent="0.2">
      <c r="A51" s="2"/>
      <c r="B51" s="2"/>
      <c r="C51" s="3"/>
      <c r="D51" s="2"/>
    </row>
    <row r="52" spans="1:4" x14ac:dyDescent="0.2">
      <c r="A52" s="2"/>
      <c r="B52" s="2"/>
      <c r="C52" s="3"/>
      <c r="D52" s="2"/>
    </row>
    <row r="53" spans="1:4" x14ac:dyDescent="0.2">
      <c r="A53" s="2"/>
      <c r="B53" s="2"/>
      <c r="C53" s="3"/>
      <c r="D53" s="2"/>
    </row>
    <row r="54" spans="1:4" x14ac:dyDescent="0.2">
      <c r="A54" s="2"/>
      <c r="B54" s="2"/>
      <c r="C54" s="3"/>
      <c r="D54" s="2"/>
    </row>
    <row r="55" spans="1:4" x14ac:dyDescent="0.2">
      <c r="A55" s="2"/>
      <c r="B55" s="2"/>
      <c r="C55" s="3"/>
      <c r="D55" s="2"/>
    </row>
    <row r="56" spans="1:4" x14ac:dyDescent="0.2">
      <c r="A56" s="2"/>
      <c r="B56" s="2"/>
      <c r="C56" s="3"/>
      <c r="D56" s="2"/>
    </row>
    <row r="57" spans="1:4" x14ac:dyDescent="0.2">
      <c r="A57" s="2"/>
      <c r="B57" s="2"/>
      <c r="C57" s="3"/>
      <c r="D57" s="2"/>
    </row>
    <row r="58" spans="1:4" x14ac:dyDescent="0.2">
      <c r="A58" s="2"/>
      <c r="B58" s="2"/>
      <c r="C58" s="3"/>
      <c r="D58" s="2"/>
    </row>
    <row r="59" spans="1:4" x14ac:dyDescent="0.2">
      <c r="A59" s="2"/>
      <c r="B59" s="2"/>
      <c r="C59" s="3"/>
      <c r="D59" s="2"/>
    </row>
    <row r="60" spans="1:4" x14ac:dyDescent="0.2">
      <c r="A60" s="2"/>
      <c r="B60" s="2"/>
      <c r="C60" s="3"/>
      <c r="D60" s="2"/>
    </row>
    <row r="61" spans="1:4" x14ac:dyDescent="0.2">
      <c r="A61" s="2"/>
      <c r="B61" s="2"/>
      <c r="C61" s="3"/>
      <c r="D61" s="2"/>
    </row>
    <row r="62" spans="1:4" x14ac:dyDescent="0.2">
      <c r="A62" s="2"/>
      <c r="B62" s="2"/>
      <c r="C62" s="3"/>
      <c r="D62" s="2"/>
    </row>
    <row r="63" spans="1:4" x14ac:dyDescent="0.2">
      <c r="A63" s="2"/>
      <c r="B63" s="2"/>
      <c r="C63" s="3"/>
      <c r="D63" s="2"/>
    </row>
    <row r="64" spans="1:4" x14ac:dyDescent="0.2">
      <c r="A64" s="2"/>
      <c r="B64" s="2"/>
      <c r="C64" s="3"/>
      <c r="D64" s="2"/>
    </row>
    <row r="65" spans="1:4" x14ac:dyDescent="0.2">
      <c r="A65" s="2"/>
      <c r="B65" s="2"/>
      <c r="C65" s="3"/>
      <c r="D65" s="2"/>
    </row>
    <row r="66" spans="1:4" x14ac:dyDescent="0.2">
      <c r="A66" s="2"/>
      <c r="B66" s="2"/>
      <c r="C66" s="3"/>
      <c r="D66" s="2"/>
    </row>
    <row r="67" spans="1:4" x14ac:dyDescent="0.2">
      <c r="A67" s="2"/>
      <c r="B67" s="2"/>
      <c r="C67" s="3"/>
      <c r="D67" s="2"/>
    </row>
    <row r="68" spans="1:4" x14ac:dyDescent="0.2">
      <c r="A68" s="2"/>
      <c r="B68" s="2"/>
      <c r="C68" s="3"/>
      <c r="D68" s="2"/>
    </row>
    <row r="69" spans="1:4" x14ac:dyDescent="0.2">
      <c r="A69" s="2"/>
      <c r="B69" s="2"/>
      <c r="C69" s="3"/>
      <c r="D69" s="2"/>
    </row>
    <row r="70" spans="1:4" x14ac:dyDescent="0.2">
      <c r="A70" s="2"/>
      <c r="B70" s="3"/>
      <c r="C70" s="2"/>
      <c r="D70" s="2"/>
    </row>
    <row r="71" spans="1:4" x14ac:dyDescent="0.2">
      <c r="A71" s="2"/>
      <c r="B71" s="3"/>
      <c r="C71" s="2"/>
      <c r="D71" s="2"/>
    </row>
    <row r="72" spans="1:4" x14ac:dyDescent="0.2">
      <c r="A72" s="2"/>
      <c r="B72" s="3"/>
      <c r="C72" s="2"/>
      <c r="D72" s="2"/>
    </row>
    <row r="73" spans="1:4" x14ac:dyDescent="0.2">
      <c r="A73" s="2"/>
      <c r="B73" s="3"/>
      <c r="C73" s="2"/>
      <c r="D73" s="2"/>
    </row>
    <row r="74" spans="1:4" x14ac:dyDescent="0.2">
      <c r="A74" s="2"/>
      <c r="B74" s="3"/>
      <c r="C74" s="2"/>
      <c r="D74" s="2"/>
    </row>
    <row r="75" spans="1:4" x14ac:dyDescent="0.2">
      <c r="A75" s="2"/>
      <c r="B75" s="3"/>
      <c r="C75" s="2"/>
      <c r="D75" s="2"/>
    </row>
    <row r="76" spans="1:4" x14ac:dyDescent="0.2">
      <c r="A76" s="2"/>
      <c r="B76" s="3"/>
      <c r="C76" s="2"/>
      <c r="D76" s="2"/>
    </row>
    <row r="77" spans="1:4" x14ac:dyDescent="0.2">
      <c r="A77" s="2"/>
      <c r="B77" s="3"/>
      <c r="C77" s="2"/>
      <c r="D77" s="2"/>
    </row>
    <row r="78" spans="1:4" x14ac:dyDescent="0.2">
      <c r="A78" s="2"/>
      <c r="B78" s="3"/>
      <c r="C78" s="2"/>
      <c r="D78" s="2"/>
    </row>
    <row r="79" spans="1:4" x14ac:dyDescent="0.2">
      <c r="A79" s="2"/>
      <c r="B79" s="3"/>
      <c r="C79" s="2"/>
      <c r="D79" s="2"/>
    </row>
    <row r="80" spans="1:4" x14ac:dyDescent="0.2">
      <c r="A80" s="2"/>
      <c r="B80" s="3"/>
      <c r="C80" s="2"/>
      <c r="D80" s="2"/>
    </row>
    <row r="81" spans="1:4" x14ac:dyDescent="0.2">
      <c r="A81" s="2"/>
      <c r="B81" s="3"/>
      <c r="C81" s="2"/>
      <c r="D81" s="2"/>
    </row>
    <row r="82" spans="1:4" x14ac:dyDescent="0.2">
      <c r="A82" s="2"/>
      <c r="B82" s="3"/>
      <c r="C82" s="2"/>
      <c r="D82" s="2"/>
    </row>
    <row r="83" spans="1:4" x14ac:dyDescent="0.2">
      <c r="A83" s="2"/>
      <c r="B83" s="3"/>
      <c r="C83" s="2"/>
      <c r="D83" s="2"/>
    </row>
    <row r="84" spans="1:4" x14ac:dyDescent="0.2">
      <c r="A84" s="2"/>
      <c r="B84" s="3"/>
      <c r="C84" s="2"/>
      <c r="D84" s="2"/>
    </row>
    <row r="85" spans="1:4" x14ac:dyDescent="0.2">
      <c r="A85" s="2"/>
      <c r="B85" s="3"/>
      <c r="C85" s="2"/>
      <c r="D85" s="2"/>
    </row>
    <row r="86" spans="1:4" x14ac:dyDescent="0.2">
      <c r="A86" s="2"/>
      <c r="B86" s="3"/>
      <c r="C86" s="2"/>
      <c r="D86" s="2"/>
    </row>
    <row r="87" spans="1:4" x14ac:dyDescent="0.2">
      <c r="A87" s="2"/>
      <c r="B87" s="3"/>
      <c r="C87" s="2"/>
      <c r="D87" s="2"/>
    </row>
    <row r="88" spans="1:4" x14ac:dyDescent="0.2">
      <c r="A88" s="2"/>
      <c r="B88" s="3"/>
      <c r="C88" s="2"/>
      <c r="D88" s="2"/>
    </row>
    <row r="89" spans="1:4" x14ac:dyDescent="0.2">
      <c r="A89" s="2"/>
      <c r="B89" s="3"/>
      <c r="C89" s="2"/>
      <c r="D89" s="2"/>
    </row>
    <row r="90" spans="1:4" x14ac:dyDescent="0.2">
      <c r="A90" s="2"/>
      <c r="B90" s="3"/>
      <c r="C90" s="2"/>
      <c r="D90" s="2"/>
    </row>
    <row r="91" spans="1:4" x14ac:dyDescent="0.2">
      <c r="A91" s="2"/>
      <c r="B91" s="3"/>
      <c r="C91" s="2"/>
      <c r="D91" s="2"/>
    </row>
    <row r="92" spans="1:4" x14ac:dyDescent="0.2">
      <c r="B92" s="5"/>
    </row>
    <row r="93" spans="1:4" x14ac:dyDescent="0.2">
      <c r="B93" s="5"/>
    </row>
    <row r="94" spans="1:4" x14ac:dyDescent="0.2">
      <c r="B94" s="5"/>
    </row>
    <row r="95" spans="1:4" x14ac:dyDescent="0.2">
      <c r="B95" s="5"/>
    </row>
    <row r="96" spans="1:4" x14ac:dyDescent="0.2">
      <c r="B96" s="5"/>
    </row>
    <row r="97" spans="2:2" x14ac:dyDescent="0.2">
      <c r="B97" s="5"/>
    </row>
    <row r="98" spans="2:2" x14ac:dyDescent="0.2">
      <c r="B98" s="5"/>
    </row>
    <row r="99" spans="2:2" x14ac:dyDescent="0.2">
      <c r="B99" s="5"/>
    </row>
    <row r="100" spans="2:2" x14ac:dyDescent="0.2">
      <c r="B100" s="5"/>
    </row>
    <row r="102" spans="2:2" x14ac:dyDescent="0.2">
      <c r="B102" s="5"/>
    </row>
    <row r="103" spans="2:2" x14ac:dyDescent="0.2">
      <c r="B103" s="5"/>
    </row>
    <row r="104" spans="2:2" x14ac:dyDescent="0.2">
      <c r="B104" s="5"/>
    </row>
    <row r="106" spans="2:2" x14ac:dyDescent="0.2">
      <c r="B106" s="5"/>
    </row>
    <row r="107" spans="2:2" x14ac:dyDescent="0.2">
      <c r="B107" s="5"/>
    </row>
    <row r="108" spans="2:2" x14ac:dyDescent="0.2">
      <c r="B108" s="5"/>
    </row>
    <row r="109" spans="2:2" x14ac:dyDescent="0.2">
      <c r="B109" s="5"/>
    </row>
    <row r="110" spans="2:2" x14ac:dyDescent="0.2">
      <c r="B110" s="5"/>
    </row>
    <row r="111" spans="2:2" x14ac:dyDescent="0.2">
      <c r="B111" s="5"/>
    </row>
    <row r="112" spans="2:2" x14ac:dyDescent="0.2">
      <c r="B112" s="5"/>
    </row>
    <row r="113" spans="2:2" x14ac:dyDescent="0.2">
      <c r="B113" s="5"/>
    </row>
    <row r="114" spans="2:2" x14ac:dyDescent="0.2">
      <c r="B114" s="5"/>
    </row>
    <row r="115" spans="2:2" x14ac:dyDescent="0.2">
      <c r="B115" s="5"/>
    </row>
    <row r="116" spans="2:2" x14ac:dyDescent="0.2">
      <c r="B116" s="5"/>
    </row>
    <row r="119" spans="2:2" x14ac:dyDescent="0.2">
      <c r="B119" s="5"/>
    </row>
    <row r="120" spans="2:2" x14ac:dyDescent="0.2">
      <c r="B120" s="5"/>
    </row>
    <row r="121" spans="2:2" x14ac:dyDescent="0.2">
      <c r="B121" s="5"/>
    </row>
    <row r="122" spans="2:2" x14ac:dyDescent="0.2">
      <c r="B122" s="5"/>
    </row>
    <row r="123" spans="2:2" x14ac:dyDescent="0.2">
      <c r="B123" s="5"/>
    </row>
    <row r="124" spans="2:2" x14ac:dyDescent="0.2">
      <c r="B124" s="5"/>
    </row>
    <row r="125" spans="2:2" x14ac:dyDescent="0.2">
      <c r="B125" s="5"/>
    </row>
    <row r="126" spans="2:2" x14ac:dyDescent="0.2">
      <c r="B126" s="5"/>
    </row>
    <row r="127" spans="2:2" x14ac:dyDescent="0.2">
      <c r="B127" s="5"/>
    </row>
    <row r="128" spans="2:2" x14ac:dyDescent="0.2">
      <c r="B128" s="5"/>
    </row>
    <row r="129" spans="2:2" x14ac:dyDescent="0.2">
      <c r="B129" s="5"/>
    </row>
    <row r="130" spans="2:2" x14ac:dyDescent="0.2">
      <c r="B130" s="5"/>
    </row>
    <row r="131" spans="2:2" x14ac:dyDescent="0.2">
      <c r="B131" s="5"/>
    </row>
    <row r="133" spans="2:2" x14ac:dyDescent="0.2">
      <c r="B133" s="6"/>
    </row>
  </sheetData>
  <sheetProtection formatCells="0" formatColumns="0" formatRows="0" insertColumns="0" insertRows="0" selectLockedCells="1"/>
  <protectedRanges>
    <protectedRange sqref="D81:D96 A81:B96 A97:D1048576 A2:D80" name="Range1"/>
  </protectedRanges>
  <pageMargins left="0.7" right="0.7" top="0.75" bottom="0.75" header="0.3" footer="0.3"/>
  <pageSetup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0BAEA7-E22F-47BD-8204-E6B9C1014FCA}">
  <sheetPr codeName="Sheet4"/>
  <dimension ref="A1:X62"/>
  <sheetViews>
    <sheetView topLeftCell="A9" zoomScaleNormal="85" workbookViewId="0">
      <selection activeCell="G12" sqref="G12"/>
    </sheetView>
  </sheetViews>
  <sheetFormatPr baseColWidth="10" defaultColWidth="8.83203125" defaultRowHeight="15" x14ac:dyDescent="0.2"/>
  <cols>
    <col min="1" max="1" width="32.83203125" style="117" customWidth="1"/>
    <col min="2" max="2" width="18" style="117" bestFit="1" customWidth="1"/>
    <col min="3" max="3" width="18.83203125" customWidth="1"/>
    <col min="4" max="4" width="14.1640625" customWidth="1"/>
    <col min="5" max="5" width="19.83203125" bestFit="1" customWidth="1"/>
    <col min="6" max="6" width="20.5" bestFit="1" customWidth="1"/>
    <col min="7" max="7" width="10" bestFit="1" customWidth="1"/>
    <col min="8" max="8" width="9.6640625" bestFit="1" customWidth="1"/>
    <col min="9" max="9" width="20.6640625" bestFit="1" customWidth="1"/>
    <col min="10" max="10" width="20.5" bestFit="1" customWidth="1"/>
    <col min="11" max="11" width="10" bestFit="1" customWidth="1"/>
    <col min="12" max="12" width="29.6640625" bestFit="1" customWidth="1"/>
    <col min="13" max="13" width="36.6640625" bestFit="1" customWidth="1"/>
    <col min="14" max="14" width="27.6640625" bestFit="1" customWidth="1"/>
    <col min="15" max="15" width="25.6640625" bestFit="1" customWidth="1"/>
    <col min="16" max="16" width="26" bestFit="1" customWidth="1"/>
    <col min="17" max="17" width="24.33203125" bestFit="1" customWidth="1"/>
    <col min="18" max="18" width="19.33203125" bestFit="1" customWidth="1"/>
    <col min="19" max="19" width="5.33203125" bestFit="1" customWidth="1"/>
    <col min="20" max="20" width="19.33203125" bestFit="1" customWidth="1"/>
    <col min="21" max="21" width="13.6640625" bestFit="1" customWidth="1"/>
    <col min="22" max="22" width="13" bestFit="1" customWidth="1"/>
    <col min="23" max="23" width="7.33203125" bestFit="1" customWidth="1"/>
    <col min="24" max="24" width="10" bestFit="1" customWidth="1"/>
  </cols>
  <sheetData>
    <row r="1" spans="1:24" ht="22" x14ac:dyDescent="0.25">
      <c r="A1" s="116" t="s">
        <v>8</v>
      </c>
    </row>
    <row r="2" spans="1:24" ht="16" x14ac:dyDescent="0.2">
      <c r="A2" s="10" t="s">
        <v>9</v>
      </c>
      <c r="B2" s="147"/>
      <c r="C2" s="10"/>
      <c r="D2" s="10"/>
    </row>
    <row r="3" spans="1:24" ht="16" x14ac:dyDescent="0.2">
      <c r="A3" s="11" t="s">
        <v>10</v>
      </c>
      <c r="B3" s="147"/>
      <c r="C3" s="10"/>
      <c r="D3" s="10"/>
    </row>
    <row r="4" spans="1:24" x14ac:dyDescent="0.2">
      <c r="E4" s="1"/>
      <c r="F4" s="118"/>
    </row>
    <row r="5" spans="1:24" s="117" customFormat="1" ht="16" thickBot="1" x14ac:dyDescent="0.25">
      <c r="E5" s="178" t="s">
        <v>144</v>
      </c>
      <c r="F5" t="s">
        <v>163</v>
      </c>
      <c r="G5"/>
      <c r="H5"/>
      <c r="I5"/>
      <c r="J5"/>
      <c r="K5"/>
      <c r="L5"/>
      <c r="M5"/>
      <c r="N5"/>
      <c r="O5"/>
      <c r="P5"/>
      <c r="Q5"/>
      <c r="R5"/>
      <c r="S5"/>
      <c r="T5"/>
      <c r="U5"/>
      <c r="V5"/>
      <c r="W5"/>
      <c r="X5"/>
    </row>
    <row r="6" spans="1:24" ht="16" x14ac:dyDescent="0.2">
      <c r="A6" s="119" t="s">
        <v>118</v>
      </c>
      <c r="B6" s="120" t="s">
        <v>119</v>
      </c>
      <c r="C6" s="121" t="s">
        <v>120</v>
      </c>
      <c r="E6" s="179" t="s">
        <v>123</v>
      </c>
      <c r="F6">
        <v>5800</v>
      </c>
    </row>
    <row r="7" spans="1:24" ht="16" x14ac:dyDescent="0.2">
      <c r="A7" s="122" t="s">
        <v>13</v>
      </c>
      <c r="B7" s="148" t="s">
        <v>121</v>
      </c>
      <c r="C7" s="123">
        <v>2.99</v>
      </c>
      <c r="E7" s="179" t="s">
        <v>121</v>
      </c>
      <c r="F7">
        <v>2.99</v>
      </c>
    </row>
    <row r="8" spans="1:24" ht="16" x14ac:dyDescent="0.2">
      <c r="A8" s="122" t="s">
        <v>14</v>
      </c>
      <c r="B8" s="148" t="s">
        <v>122</v>
      </c>
      <c r="C8" s="123">
        <v>2.5</v>
      </c>
      <c r="E8" s="179" t="s">
        <v>122</v>
      </c>
      <c r="F8">
        <v>2.5</v>
      </c>
    </row>
    <row r="9" spans="1:24" ht="32" x14ac:dyDescent="0.2">
      <c r="A9" s="124" t="s">
        <v>15</v>
      </c>
      <c r="B9" s="148" t="s">
        <v>133</v>
      </c>
      <c r="C9" s="14">
        <v>0.5</v>
      </c>
      <c r="E9" s="179" t="s">
        <v>134</v>
      </c>
      <c r="F9">
        <v>0.5</v>
      </c>
    </row>
    <row r="10" spans="1:24" ht="32" x14ac:dyDescent="0.2">
      <c r="A10" s="124" t="s">
        <v>124</v>
      </c>
      <c r="B10" s="148" t="s">
        <v>133</v>
      </c>
      <c r="C10" s="14">
        <v>0.1</v>
      </c>
      <c r="E10" s="179" t="s">
        <v>133</v>
      </c>
      <c r="F10">
        <v>0.6</v>
      </c>
    </row>
    <row r="11" spans="1:24" ht="16" x14ac:dyDescent="0.2">
      <c r="A11" s="124" t="s">
        <v>16</v>
      </c>
      <c r="B11" s="148" t="s">
        <v>123</v>
      </c>
      <c r="C11" s="14">
        <v>300</v>
      </c>
      <c r="E11" s="179" t="s">
        <v>145</v>
      </c>
      <c r="F11">
        <v>5806.59</v>
      </c>
    </row>
    <row r="12" spans="1:24" ht="16" x14ac:dyDescent="0.2">
      <c r="A12" s="124" t="s">
        <v>17</v>
      </c>
      <c r="B12" s="148" t="s">
        <v>123</v>
      </c>
      <c r="C12" s="14">
        <v>0</v>
      </c>
    </row>
    <row r="13" spans="1:24" ht="16" x14ac:dyDescent="0.2">
      <c r="A13" s="124" t="s">
        <v>18</v>
      </c>
      <c r="B13" s="148" t="s">
        <v>123</v>
      </c>
      <c r="C13" s="14">
        <v>100</v>
      </c>
    </row>
    <row r="14" spans="1:24" ht="32" x14ac:dyDescent="0.2">
      <c r="A14" s="124" t="s">
        <v>19</v>
      </c>
      <c r="B14" s="148" t="s">
        <v>134</v>
      </c>
      <c r="C14" s="14">
        <v>0.35</v>
      </c>
    </row>
    <row r="15" spans="1:24" ht="32" x14ac:dyDescent="0.2">
      <c r="A15" s="124" t="s">
        <v>20</v>
      </c>
      <c r="B15" s="148" t="s">
        <v>134</v>
      </c>
      <c r="C15" s="14">
        <v>0.15</v>
      </c>
    </row>
    <row r="16" spans="1:24" ht="16" x14ac:dyDescent="0.2">
      <c r="A16" s="124" t="s">
        <v>21</v>
      </c>
      <c r="B16" s="148" t="s">
        <v>123</v>
      </c>
      <c r="C16" s="14">
        <v>2400</v>
      </c>
    </row>
    <row r="17" spans="1:5" ht="16" x14ac:dyDescent="0.2">
      <c r="A17" s="124" t="s">
        <v>22</v>
      </c>
      <c r="B17" s="148" t="s">
        <v>123</v>
      </c>
      <c r="C17" s="14">
        <v>1200</v>
      </c>
    </row>
    <row r="18" spans="1:5" ht="16" x14ac:dyDescent="0.2">
      <c r="A18" s="124" t="s">
        <v>23</v>
      </c>
      <c r="B18" s="148" t="s">
        <v>123</v>
      </c>
      <c r="C18" s="14">
        <v>500</v>
      </c>
    </row>
    <row r="19" spans="1:5" ht="16" x14ac:dyDescent="0.2">
      <c r="A19" s="124" t="s">
        <v>24</v>
      </c>
      <c r="B19" s="148" t="s">
        <v>123</v>
      </c>
      <c r="C19" s="14">
        <v>50</v>
      </c>
    </row>
    <row r="20" spans="1:5" ht="16" x14ac:dyDescent="0.2">
      <c r="A20" s="124" t="s">
        <v>25</v>
      </c>
      <c r="B20" s="148" t="s">
        <v>123</v>
      </c>
      <c r="C20" s="14">
        <v>25</v>
      </c>
    </row>
    <row r="21" spans="1:5" ht="16" x14ac:dyDescent="0.2">
      <c r="A21" s="15" t="s">
        <v>26</v>
      </c>
      <c r="B21" s="148" t="s">
        <v>123</v>
      </c>
      <c r="C21" s="14">
        <v>0</v>
      </c>
    </row>
    <row r="22" spans="1:5" ht="16" x14ac:dyDescent="0.2">
      <c r="A22" s="124" t="s">
        <v>27</v>
      </c>
      <c r="B22" s="148" t="s">
        <v>123</v>
      </c>
      <c r="C22" s="14">
        <v>1000</v>
      </c>
    </row>
    <row r="23" spans="1:5" ht="16" x14ac:dyDescent="0.2">
      <c r="A23" s="124" t="s">
        <v>28</v>
      </c>
      <c r="B23" s="148" t="s">
        <v>123</v>
      </c>
      <c r="C23" s="14">
        <v>25</v>
      </c>
    </row>
    <row r="24" spans="1:5" ht="16" x14ac:dyDescent="0.2">
      <c r="A24" s="125" t="s">
        <v>29</v>
      </c>
      <c r="B24" s="148" t="s">
        <v>123</v>
      </c>
      <c r="C24" s="13">
        <v>200</v>
      </c>
    </row>
    <row r="25" spans="1:5" x14ac:dyDescent="0.2">
      <c r="A25" s="126" t="s">
        <v>11</v>
      </c>
      <c r="C25" s="16" t="s">
        <v>11</v>
      </c>
    </row>
    <row r="26" spans="1:5" x14ac:dyDescent="0.2">
      <c r="A26" s="127"/>
    </row>
    <row r="28" spans="1:5" x14ac:dyDescent="0.2">
      <c r="B28" s="149"/>
      <c r="C28" s="16"/>
    </row>
    <row r="29" spans="1:5" ht="18" thickBot="1" x14ac:dyDescent="0.25">
      <c r="A29" s="128" t="s">
        <v>30</v>
      </c>
      <c r="B29" s="149"/>
      <c r="C29" s="16"/>
    </row>
    <row r="30" spans="1:5" ht="22" x14ac:dyDescent="0.2">
      <c r="A30" s="129" t="s">
        <v>112</v>
      </c>
      <c r="B30" s="150"/>
      <c r="D30" s="130"/>
      <c r="E30" s="130"/>
    </row>
    <row r="31" spans="1:5" ht="19" x14ac:dyDescent="0.25">
      <c r="A31" s="111" t="s">
        <v>31</v>
      </c>
      <c r="B31" s="83">
        <v>4000</v>
      </c>
    </row>
    <row r="32" spans="1:5" ht="19" x14ac:dyDescent="0.25">
      <c r="A32" s="112" t="s">
        <v>32</v>
      </c>
      <c r="B32" s="83">
        <v>3</v>
      </c>
    </row>
    <row r="33" spans="1:7" ht="19" x14ac:dyDescent="0.25">
      <c r="A33" s="112" t="s">
        <v>33</v>
      </c>
      <c r="B33" s="83">
        <v>1.25</v>
      </c>
    </row>
    <row r="34" spans="1:7" ht="21" x14ac:dyDescent="0.25">
      <c r="A34" s="112" t="s">
        <v>34</v>
      </c>
      <c r="B34" s="151">
        <v>0.22</v>
      </c>
      <c r="C34" s="82"/>
      <c r="D34" s="131"/>
      <c r="E34" s="131"/>
    </row>
    <row r="35" spans="1:7" ht="18" thickBot="1" x14ac:dyDescent="0.25">
      <c r="A35" s="112" t="s">
        <v>35</v>
      </c>
      <c r="B35" s="152">
        <v>0.26</v>
      </c>
    </row>
    <row r="36" spans="1:7" ht="18" customHeight="1" x14ac:dyDescent="0.2">
      <c r="A36" s="132" t="s">
        <v>110</v>
      </c>
      <c r="B36" s="153"/>
      <c r="C36" s="50"/>
    </row>
    <row r="37" spans="1:7" ht="16" x14ac:dyDescent="0.2">
      <c r="A37" s="133" t="s">
        <v>90</v>
      </c>
      <c r="B37" s="154">
        <v>4350</v>
      </c>
    </row>
    <row r="38" spans="1:7" ht="16" x14ac:dyDescent="0.2">
      <c r="A38" s="133" t="s">
        <v>91</v>
      </c>
      <c r="B38" s="155">
        <v>0.32</v>
      </c>
      <c r="C38" s="51"/>
      <c r="G38" s="12"/>
    </row>
    <row r="39" spans="1:7" ht="17" thickBot="1" x14ac:dyDescent="0.25">
      <c r="A39" s="134" t="s">
        <v>92</v>
      </c>
      <c r="B39" s="152">
        <v>0.22</v>
      </c>
    </row>
    <row r="40" spans="1:7" ht="22" x14ac:dyDescent="0.25">
      <c r="A40" s="52" t="s">
        <v>93</v>
      </c>
      <c r="B40" s="156" t="s">
        <v>114</v>
      </c>
      <c r="C40" s="137"/>
      <c r="G40" s="12"/>
    </row>
    <row r="41" spans="1:7" x14ac:dyDescent="0.2">
      <c r="A41" s="53" t="s">
        <v>115</v>
      </c>
      <c r="B41" s="157">
        <v>0.2</v>
      </c>
      <c r="C41" s="16"/>
    </row>
    <row r="42" spans="1:7" x14ac:dyDescent="0.2">
      <c r="A42" s="54" t="s">
        <v>36</v>
      </c>
      <c r="B42" s="157">
        <v>0.55000000000000004</v>
      </c>
      <c r="C42" s="16"/>
    </row>
    <row r="43" spans="1:7" ht="16" thickBot="1" x14ac:dyDescent="0.25">
      <c r="A43" s="55" t="s">
        <v>116</v>
      </c>
      <c r="B43" s="158">
        <v>0.25</v>
      </c>
      <c r="C43" s="16"/>
    </row>
    <row r="44" spans="1:7" x14ac:dyDescent="0.2">
      <c r="A44" s="126"/>
      <c r="B44" s="149"/>
      <c r="C44" s="16"/>
    </row>
    <row r="45" spans="1:7" x14ac:dyDescent="0.2">
      <c r="A45" s="126"/>
      <c r="B45" s="149"/>
      <c r="C45" s="16"/>
    </row>
    <row r="46" spans="1:7" x14ac:dyDescent="0.2">
      <c r="A46" s="126"/>
      <c r="B46" s="149"/>
      <c r="C46" s="16"/>
    </row>
    <row r="47" spans="1:7" x14ac:dyDescent="0.2">
      <c r="A47" s="126"/>
      <c r="B47" s="149"/>
      <c r="C47" s="16"/>
    </row>
    <row r="48" spans="1:7" x14ac:dyDescent="0.2">
      <c r="A48" s="17"/>
      <c r="B48" s="149"/>
      <c r="C48" s="16"/>
    </row>
    <row r="49" spans="1:3" x14ac:dyDescent="0.2">
      <c r="A49" s="126"/>
      <c r="B49" s="149"/>
      <c r="C49" s="16"/>
    </row>
    <row r="50" spans="1:3" x14ac:dyDescent="0.2">
      <c r="A50" s="17"/>
      <c r="B50" s="149"/>
      <c r="C50" s="16"/>
    </row>
    <row r="51" spans="1:3" x14ac:dyDescent="0.2">
      <c r="A51" s="126"/>
      <c r="B51" s="149"/>
      <c r="C51" s="16"/>
    </row>
    <row r="52" spans="1:3" x14ac:dyDescent="0.2">
      <c r="A52" s="126"/>
      <c r="B52" s="149"/>
      <c r="C52" s="16"/>
    </row>
    <row r="53" spans="1:3" x14ac:dyDescent="0.2">
      <c r="A53" s="126"/>
      <c r="B53" s="149"/>
      <c r="C53" s="16"/>
    </row>
    <row r="54" spans="1:3" x14ac:dyDescent="0.2">
      <c r="A54" s="126"/>
      <c r="B54" s="149"/>
      <c r="C54" s="16"/>
    </row>
    <row r="61" spans="1:3" x14ac:dyDescent="0.2">
      <c r="A61" s="135" t="s">
        <v>89</v>
      </c>
    </row>
    <row r="62" spans="1:3" x14ac:dyDescent="0.2">
      <c r="A62" s="136"/>
    </row>
  </sheetData>
  <pageMargins left="0.7" right="0.7" top="0.75" bottom="0.75" header="0.3" footer="0.3"/>
  <pageSetup orientation="portrait"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26AEDA-F2D7-49C4-96A6-D7924DCB044B}">
  <dimension ref="A1:P37"/>
  <sheetViews>
    <sheetView zoomScale="81" workbookViewId="0">
      <selection activeCell="G47" sqref="G47"/>
    </sheetView>
  </sheetViews>
  <sheetFormatPr baseColWidth="10" defaultColWidth="8.83203125" defaultRowHeight="15" x14ac:dyDescent="0.2"/>
  <cols>
    <col min="4" max="4" width="13.1640625" bestFit="1" customWidth="1"/>
    <col min="5" max="5" width="14.83203125" bestFit="1" customWidth="1"/>
    <col min="6" max="7" width="6.1640625" bestFit="1" customWidth="1"/>
    <col min="8" max="8" width="10" bestFit="1" customWidth="1"/>
  </cols>
  <sheetData>
    <row r="1" spans="1:16" ht="17" thickBot="1" x14ac:dyDescent="0.25">
      <c r="A1" s="18" t="s">
        <v>37</v>
      </c>
      <c r="B1" s="19" t="s">
        <v>38</v>
      </c>
    </row>
    <row r="2" spans="1:16" ht="16" x14ac:dyDescent="0.2">
      <c r="A2" s="176">
        <v>43831</v>
      </c>
      <c r="B2" s="109">
        <v>2395</v>
      </c>
      <c r="D2" s="178" t="s">
        <v>149</v>
      </c>
      <c r="E2" s="178" t="s">
        <v>150</v>
      </c>
      <c r="P2" s="146" t="s">
        <v>131</v>
      </c>
    </row>
    <row r="3" spans="1:16" ht="16" x14ac:dyDescent="0.2">
      <c r="A3" s="176">
        <v>43862</v>
      </c>
      <c r="B3" s="109">
        <v>2584</v>
      </c>
      <c r="D3" s="178" t="s">
        <v>144</v>
      </c>
      <c r="E3" t="s">
        <v>146</v>
      </c>
      <c r="F3" t="s">
        <v>147</v>
      </c>
      <c r="G3" t="s">
        <v>148</v>
      </c>
      <c r="H3" t="s">
        <v>145</v>
      </c>
      <c r="P3" s="146" t="s">
        <v>128</v>
      </c>
    </row>
    <row r="4" spans="1:16" ht="16" x14ac:dyDescent="0.2">
      <c r="A4" s="176">
        <v>43891</v>
      </c>
      <c r="B4" s="109">
        <v>2681</v>
      </c>
      <c r="D4" s="179" t="s">
        <v>151</v>
      </c>
      <c r="E4">
        <v>2395</v>
      </c>
      <c r="F4">
        <v>2434</v>
      </c>
      <c r="G4">
        <v>2476</v>
      </c>
      <c r="H4">
        <v>7305</v>
      </c>
      <c r="P4" s="146" t="s">
        <v>129</v>
      </c>
    </row>
    <row r="5" spans="1:16" ht="16" x14ac:dyDescent="0.2">
      <c r="A5" s="176">
        <v>43922</v>
      </c>
      <c r="B5" s="109">
        <v>3002</v>
      </c>
      <c r="D5" s="179" t="s">
        <v>152</v>
      </c>
      <c r="E5">
        <v>2584</v>
      </c>
      <c r="F5">
        <v>2627</v>
      </c>
      <c r="G5">
        <v>3039</v>
      </c>
      <c r="H5">
        <v>8250</v>
      </c>
      <c r="P5" s="146" t="s">
        <v>132</v>
      </c>
    </row>
    <row r="6" spans="1:16" ht="16" x14ac:dyDescent="0.2">
      <c r="A6" s="176">
        <v>43952</v>
      </c>
      <c r="B6" s="109">
        <v>3473</v>
      </c>
      <c r="D6" s="179" t="s">
        <v>153</v>
      </c>
      <c r="E6">
        <v>2681</v>
      </c>
      <c r="F6">
        <v>2710</v>
      </c>
      <c r="G6">
        <v>3050</v>
      </c>
      <c r="H6">
        <v>8441</v>
      </c>
      <c r="P6" s="146" t="s">
        <v>130</v>
      </c>
    </row>
    <row r="7" spans="1:16" ht="16" x14ac:dyDescent="0.2">
      <c r="A7" s="176">
        <v>43983</v>
      </c>
      <c r="B7" s="109">
        <v>3358</v>
      </c>
      <c r="D7" s="179" t="s">
        <v>154</v>
      </c>
      <c r="E7">
        <v>3002</v>
      </c>
      <c r="F7">
        <v>2986</v>
      </c>
      <c r="G7">
        <v>3431</v>
      </c>
      <c r="H7">
        <v>9419</v>
      </c>
    </row>
    <row r="8" spans="1:16" ht="16" x14ac:dyDescent="0.2">
      <c r="A8" s="176">
        <v>44013</v>
      </c>
      <c r="B8" s="109">
        <v>1201</v>
      </c>
      <c r="D8" s="179" t="s">
        <v>155</v>
      </c>
      <c r="E8">
        <v>3473</v>
      </c>
      <c r="F8">
        <v>3602</v>
      </c>
      <c r="G8">
        <v>3712</v>
      </c>
      <c r="H8">
        <v>10787</v>
      </c>
    </row>
    <row r="9" spans="1:16" ht="16" x14ac:dyDescent="0.2">
      <c r="A9" s="176">
        <v>44044</v>
      </c>
      <c r="B9" s="109">
        <v>2549</v>
      </c>
      <c r="D9" s="179" t="s">
        <v>156</v>
      </c>
      <c r="E9">
        <v>3358</v>
      </c>
      <c r="F9">
        <v>3487</v>
      </c>
      <c r="G9">
        <v>3915</v>
      </c>
      <c r="H9">
        <v>10760</v>
      </c>
    </row>
    <row r="10" spans="1:16" ht="16" x14ac:dyDescent="0.2">
      <c r="A10" s="176">
        <v>44075</v>
      </c>
      <c r="B10" s="109">
        <v>3012</v>
      </c>
      <c r="D10" s="179" t="s">
        <v>157</v>
      </c>
      <c r="E10">
        <v>1201</v>
      </c>
      <c r="F10">
        <v>2626</v>
      </c>
      <c r="G10">
        <v>2983</v>
      </c>
      <c r="H10">
        <v>6810</v>
      </c>
    </row>
    <row r="11" spans="1:16" ht="16" x14ac:dyDescent="0.2">
      <c r="A11" s="176">
        <v>44105</v>
      </c>
      <c r="B11" s="109">
        <v>3561</v>
      </c>
      <c r="D11" s="179" t="s">
        <v>158</v>
      </c>
      <c r="E11">
        <v>2549</v>
      </c>
      <c r="F11">
        <v>3045</v>
      </c>
      <c r="G11">
        <v>3305</v>
      </c>
      <c r="H11">
        <v>8899</v>
      </c>
    </row>
    <row r="12" spans="1:16" ht="16" x14ac:dyDescent="0.2">
      <c r="A12" s="176">
        <v>44136</v>
      </c>
      <c r="B12" s="109">
        <v>3432</v>
      </c>
      <c r="D12" s="179" t="s">
        <v>159</v>
      </c>
      <c r="E12">
        <v>3012</v>
      </c>
      <c r="F12">
        <v>3044</v>
      </c>
      <c r="G12">
        <v>3325</v>
      </c>
      <c r="H12">
        <v>9381</v>
      </c>
    </row>
    <row r="13" spans="1:16" ht="16" x14ac:dyDescent="0.2">
      <c r="A13" s="176">
        <v>44166</v>
      </c>
      <c r="B13" s="110">
        <v>4515</v>
      </c>
      <c r="D13" s="179" t="s">
        <v>160</v>
      </c>
      <c r="E13">
        <v>3561</v>
      </c>
      <c r="F13">
        <v>3794</v>
      </c>
      <c r="G13">
        <v>4508</v>
      </c>
      <c r="H13">
        <v>11863</v>
      </c>
    </row>
    <row r="14" spans="1:16" ht="16" x14ac:dyDescent="0.2">
      <c r="A14" s="176">
        <v>44197</v>
      </c>
      <c r="B14" s="109">
        <v>2434</v>
      </c>
      <c r="D14" s="179" t="s">
        <v>161</v>
      </c>
      <c r="E14">
        <v>3432</v>
      </c>
      <c r="F14">
        <v>4275</v>
      </c>
      <c r="G14">
        <v>4691</v>
      </c>
      <c r="H14">
        <v>12398</v>
      </c>
    </row>
    <row r="15" spans="1:16" ht="16" x14ac:dyDescent="0.2">
      <c r="A15" s="176">
        <v>44228</v>
      </c>
      <c r="B15" s="109">
        <v>2627</v>
      </c>
      <c r="D15" s="179" t="s">
        <v>162</v>
      </c>
      <c r="E15">
        <v>4515</v>
      </c>
      <c r="F15">
        <v>5001</v>
      </c>
      <c r="G15">
        <v>6504</v>
      </c>
      <c r="H15">
        <v>16020</v>
      </c>
    </row>
    <row r="16" spans="1:16" ht="16" x14ac:dyDescent="0.2">
      <c r="A16" s="176">
        <v>44256</v>
      </c>
      <c r="B16" s="109">
        <v>2710</v>
      </c>
      <c r="D16" s="179" t="s">
        <v>145</v>
      </c>
      <c r="E16">
        <v>35763</v>
      </c>
      <c r="F16">
        <v>39631</v>
      </c>
      <c r="G16">
        <v>44939</v>
      </c>
      <c r="H16">
        <v>120333</v>
      </c>
    </row>
    <row r="17" spans="1:2" ht="16" x14ac:dyDescent="0.2">
      <c r="A17" s="176">
        <v>44287</v>
      </c>
      <c r="B17" s="109">
        <v>2986</v>
      </c>
    </row>
    <row r="18" spans="1:2" ht="16" x14ac:dyDescent="0.2">
      <c r="A18" s="176">
        <v>44317</v>
      </c>
      <c r="B18" s="109">
        <v>3602</v>
      </c>
    </row>
    <row r="19" spans="1:2" ht="16" x14ac:dyDescent="0.2">
      <c r="A19" s="176">
        <v>44348</v>
      </c>
      <c r="B19" s="109">
        <v>3487</v>
      </c>
    </row>
    <row r="20" spans="1:2" ht="16" x14ac:dyDescent="0.2">
      <c r="A20" s="176">
        <v>44378</v>
      </c>
      <c r="B20" s="109">
        <v>2626</v>
      </c>
    </row>
    <row r="21" spans="1:2" ht="16" x14ac:dyDescent="0.2">
      <c r="A21" s="176">
        <v>44409</v>
      </c>
      <c r="B21" s="109">
        <v>3045</v>
      </c>
    </row>
    <row r="22" spans="1:2" ht="16" x14ac:dyDescent="0.2">
      <c r="A22" s="176">
        <v>44440</v>
      </c>
      <c r="B22" s="109">
        <v>3044</v>
      </c>
    </row>
    <row r="23" spans="1:2" ht="16" x14ac:dyDescent="0.2">
      <c r="A23" s="176">
        <v>44470</v>
      </c>
      <c r="B23" s="109">
        <v>3794</v>
      </c>
    </row>
    <row r="24" spans="1:2" ht="16" x14ac:dyDescent="0.2">
      <c r="A24" s="176">
        <v>44501</v>
      </c>
      <c r="B24" s="109">
        <v>4275</v>
      </c>
    </row>
    <row r="25" spans="1:2" ht="16" x14ac:dyDescent="0.2">
      <c r="A25" s="176">
        <v>44531</v>
      </c>
      <c r="B25" s="110">
        <v>5001</v>
      </c>
    </row>
    <row r="26" spans="1:2" ht="16" x14ac:dyDescent="0.2">
      <c r="A26" s="176">
        <v>44562</v>
      </c>
      <c r="B26" s="109">
        <v>2476</v>
      </c>
    </row>
    <row r="27" spans="1:2" ht="16" x14ac:dyDescent="0.2">
      <c r="A27" s="176">
        <v>44593</v>
      </c>
      <c r="B27" s="109">
        <v>3039</v>
      </c>
    </row>
    <row r="28" spans="1:2" ht="16" x14ac:dyDescent="0.2">
      <c r="A28" s="176">
        <v>44621</v>
      </c>
      <c r="B28" s="109">
        <v>3050</v>
      </c>
    </row>
    <row r="29" spans="1:2" ht="16" x14ac:dyDescent="0.2">
      <c r="A29" s="176">
        <v>44652</v>
      </c>
      <c r="B29" s="109">
        <v>3431</v>
      </c>
    </row>
    <row r="30" spans="1:2" ht="16" x14ac:dyDescent="0.2">
      <c r="A30" s="176">
        <v>44682</v>
      </c>
      <c r="B30" s="109">
        <v>3712</v>
      </c>
    </row>
    <row r="31" spans="1:2" ht="16" x14ac:dyDescent="0.2">
      <c r="A31" s="176">
        <v>44713</v>
      </c>
      <c r="B31" s="109">
        <v>3915</v>
      </c>
    </row>
    <row r="32" spans="1:2" ht="16" x14ac:dyDescent="0.2">
      <c r="A32" s="176">
        <v>44743</v>
      </c>
      <c r="B32" s="109">
        <v>2983</v>
      </c>
    </row>
    <row r="33" spans="1:2" ht="16" x14ac:dyDescent="0.2">
      <c r="A33" s="176">
        <v>44774</v>
      </c>
      <c r="B33" s="109">
        <v>3305</v>
      </c>
    </row>
    <row r="34" spans="1:2" ht="16" x14ac:dyDescent="0.2">
      <c r="A34" s="176">
        <v>44805</v>
      </c>
      <c r="B34" s="109">
        <v>3325</v>
      </c>
    </row>
    <row r="35" spans="1:2" ht="16" x14ac:dyDescent="0.2">
      <c r="A35" s="176">
        <v>44835</v>
      </c>
      <c r="B35" s="109">
        <v>4508</v>
      </c>
    </row>
    <row r="36" spans="1:2" ht="16" x14ac:dyDescent="0.2">
      <c r="A36" s="176">
        <v>44866</v>
      </c>
      <c r="B36" s="109">
        <v>4691</v>
      </c>
    </row>
    <row r="37" spans="1:2" ht="17" thickBot="1" x14ac:dyDescent="0.25">
      <c r="A37" s="176">
        <v>44896</v>
      </c>
      <c r="B37" s="177">
        <v>6504</v>
      </c>
    </row>
  </sheetData>
  <pageMargins left="0.7" right="0.7" top="0.75" bottom="0.75" header="0.3" footer="0.3"/>
  <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C70229-FA71-48E2-8592-D469F6B149C8}">
  <sheetPr codeName="Sheet5"/>
  <dimension ref="A1:Z102"/>
  <sheetViews>
    <sheetView zoomScale="65" workbookViewId="0">
      <selection activeCell="I50" sqref="I50"/>
    </sheetView>
  </sheetViews>
  <sheetFormatPr baseColWidth="10" defaultColWidth="8.83203125" defaultRowHeight="15" x14ac:dyDescent="0.2"/>
  <cols>
    <col min="1" max="1" width="10.83203125" bestFit="1" customWidth="1"/>
    <col min="2" max="2" width="19.5" customWidth="1"/>
    <col min="3" max="3" width="25.83203125" customWidth="1"/>
    <col min="4" max="4" width="19.5" customWidth="1"/>
    <col min="5" max="5" width="25.83203125" customWidth="1"/>
    <col min="6" max="7" width="19.5" customWidth="1"/>
    <col min="8" max="8" width="21.6640625" bestFit="1" customWidth="1"/>
    <col min="9" max="9" width="43" bestFit="1" customWidth="1"/>
    <col min="10" max="10" width="16.6640625" bestFit="1" customWidth="1"/>
    <col min="11" max="11" width="12.1640625" bestFit="1" customWidth="1"/>
    <col min="12" max="12" width="13.1640625" bestFit="1" customWidth="1"/>
    <col min="13" max="14" width="12.1640625" bestFit="1" customWidth="1"/>
    <col min="15" max="15" width="12.33203125" bestFit="1" customWidth="1"/>
    <col min="16" max="18" width="12.1640625" bestFit="1" customWidth="1"/>
  </cols>
  <sheetData>
    <row r="1" spans="1:15" ht="44.25" customHeight="1" thickBot="1" x14ac:dyDescent="0.25">
      <c r="A1" s="18" t="s">
        <v>37</v>
      </c>
      <c r="B1" s="19" t="s">
        <v>38</v>
      </c>
      <c r="C1" s="159" t="s">
        <v>135</v>
      </c>
      <c r="D1" s="19" t="s">
        <v>39</v>
      </c>
      <c r="E1" s="19" t="s">
        <v>136</v>
      </c>
      <c r="F1" s="19" t="s">
        <v>40</v>
      </c>
      <c r="G1" s="20" t="s">
        <v>12</v>
      </c>
      <c r="J1" s="21" t="s">
        <v>41</v>
      </c>
      <c r="K1" s="22"/>
    </row>
    <row r="2" spans="1:15" ht="16" x14ac:dyDescent="0.2">
      <c r="A2" s="23">
        <v>43831</v>
      </c>
      <c r="B2" s="109">
        <v>2395</v>
      </c>
      <c r="C2" s="24"/>
      <c r="D2" s="85">
        <f>B2/$C$13</f>
        <v>0.80362385705897155</v>
      </c>
      <c r="E2" s="160">
        <f>AVERAGE(D2,D14,D26)</f>
        <v>0.73392852694691335</v>
      </c>
      <c r="F2" s="87">
        <f>B2/E2</f>
        <v>3263.260538411032</v>
      </c>
      <c r="G2" s="25">
        <v>1</v>
      </c>
      <c r="I2" s="44" t="s">
        <v>94</v>
      </c>
      <c r="J2" t="s">
        <v>164</v>
      </c>
    </row>
    <row r="3" spans="1:15" ht="17" thickBot="1" x14ac:dyDescent="0.25">
      <c r="A3" s="23">
        <v>43862</v>
      </c>
      <c r="B3" s="109">
        <v>2584</v>
      </c>
      <c r="C3" s="24"/>
      <c r="D3" s="85">
        <f t="shared" ref="D3:D13" si="0">B3/$C$13</f>
        <v>0.86704135559097395</v>
      </c>
      <c r="E3" s="160">
        <f>AVERAGE(D3,D15,D27)</f>
        <v>0.82465976791108309</v>
      </c>
      <c r="F3" s="87">
        <f t="shared" ref="F3:F13" si="1">B3/E3</f>
        <v>3133.4134397576354</v>
      </c>
      <c r="G3" s="25">
        <v>2</v>
      </c>
    </row>
    <row r="4" spans="1:15" ht="16" x14ac:dyDescent="0.2">
      <c r="A4" s="23">
        <v>43891</v>
      </c>
      <c r="B4" s="109">
        <v>2681</v>
      </c>
      <c r="C4" s="24"/>
      <c r="D4" s="85">
        <f>B4/$C$13</f>
        <v>0.89958896065766292</v>
      </c>
      <c r="E4" s="160">
        <f t="shared" ref="E4:E13" si="2">AVERAGE(D4,D16,D28)</f>
        <v>0.84486535502079041</v>
      </c>
      <c r="F4" s="87">
        <f t="shared" si="1"/>
        <v>3173.2867066540161</v>
      </c>
      <c r="G4" s="25">
        <v>3</v>
      </c>
      <c r="J4" s="182" t="s">
        <v>165</v>
      </c>
      <c r="K4" s="182"/>
    </row>
    <row r="5" spans="1:15" ht="16" x14ac:dyDescent="0.2">
      <c r="A5" s="23">
        <v>43922</v>
      </c>
      <c r="B5" s="109">
        <v>3002</v>
      </c>
      <c r="C5" s="24"/>
      <c r="D5" s="85">
        <f t="shared" si="0"/>
        <v>1.0072980454659843</v>
      </c>
      <c r="E5" s="160">
        <f t="shared" si="2"/>
        <v>0.94253800106702668</v>
      </c>
      <c r="F5" s="87">
        <f t="shared" si="1"/>
        <v>3185.0174704908463</v>
      </c>
      <c r="G5" s="25">
        <v>4</v>
      </c>
      <c r="J5" t="s">
        <v>166</v>
      </c>
      <c r="K5">
        <v>0.68692857056872358</v>
      </c>
    </row>
    <row r="6" spans="1:15" ht="16" x14ac:dyDescent="0.2">
      <c r="A6" s="23">
        <v>43952</v>
      </c>
      <c r="B6" s="109">
        <v>3473</v>
      </c>
      <c r="C6" s="24"/>
      <c r="D6" s="85">
        <f>B6/$C$13</f>
        <v>1.1653384783155776</v>
      </c>
      <c r="E6" s="160">
        <f t="shared" si="2"/>
        <v>1.0824033788612222</v>
      </c>
      <c r="F6" s="87">
        <f t="shared" si="1"/>
        <v>3208.6004791059345</v>
      </c>
      <c r="G6" s="25">
        <v>5</v>
      </c>
      <c r="J6" t="s">
        <v>167</v>
      </c>
      <c r="K6">
        <v>0.47187086106358989</v>
      </c>
    </row>
    <row r="7" spans="1:15" ht="16" x14ac:dyDescent="0.2">
      <c r="A7" s="23">
        <v>43983</v>
      </c>
      <c r="B7" s="109">
        <v>3358</v>
      </c>
      <c r="C7" s="24"/>
      <c r="D7" s="85">
        <f t="shared" si="0"/>
        <v>1.1267511114839359</v>
      </c>
      <c r="E7" s="160">
        <f t="shared" si="2"/>
        <v>1.0760027858749039</v>
      </c>
      <c r="F7" s="87">
        <f t="shared" si="1"/>
        <v>3120.8097637680289</v>
      </c>
      <c r="G7" s="25">
        <v>6</v>
      </c>
      <c r="J7" t="s">
        <v>168</v>
      </c>
      <c r="K7">
        <v>0.4563376510948719</v>
      </c>
    </row>
    <row r="8" spans="1:15" ht="16" x14ac:dyDescent="0.2">
      <c r="A8" s="23">
        <v>44013</v>
      </c>
      <c r="B8" s="109">
        <v>1201</v>
      </c>
      <c r="C8" s="24"/>
      <c r="D8" s="85">
        <f t="shared" si="0"/>
        <v>0.40298632665044881</v>
      </c>
      <c r="E8" s="160">
        <f t="shared" si="2"/>
        <v>0.66488929258360752</v>
      </c>
      <c r="F8" s="87">
        <f t="shared" si="1"/>
        <v>1806.315748194995</v>
      </c>
      <c r="G8" s="25">
        <v>7</v>
      </c>
      <c r="J8" t="s">
        <v>169</v>
      </c>
      <c r="K8">
        <v>326.24333090974409</v>
      </c>
    </row>
    <row r="9" spans="1:15" ht="17" thickBot="1" x14ac:dyDescent="0.25">
      <c r="A9" s="23">
        <v>44044</v>
      </c>
      <c r="B9" s="109">
        <v>2549</v>
      </c>
      <c r="C9" s="24"/>
      <c r="D9" s="85">
        <f t="shared" si="0"/>
        <v>0.8552973743813439</v>
      </c>
      <c r="E9" s="160">
        <f t="shared" si="2"/>
        <v>0.88661084214360442</v>
      </c>
      <c r="F9" s="87">
        <f t="shared" si="1"/>
        <v>2874.9930396036575</v>
      </c>
      <c r="G9" s="25">
        <v>8</v>
      </c>
      <c r="J9" s="180" t="s">
        <v>170</v>
      </c>
      <c r="K9" s="180">
        <v>36</v>
      </c>
    </row>
    <row r="10" spans="1:15" ht="16" x14ac:dyDescent="0.2">
      <c r="A10" s="23">
        <v>44075</v>
      </c>
      <c r="B10" s="109">
        <v>3012</v>
      </c>
      <c r="C10" s="24"/>
      <c r="D10" s="85">
        <f t="shared" si="0"/>
        <v>1.0106534686687358</v>
      </c>
      <c r="E10" s="160">
        <f t="shared" si="2"/>
        <v>0.9400754667422464</v>
      </c>
      <c r="F10" s="87">
        <f t="shared" si="1"/>
        <v>3203.998090108485</v>
      </c>
      <c r="G10" s="25">
        <v>9</v>
      </c>
    </row>
    <row r="11" spans="1:15" ht="17" thickBot="1" x14ac:dyDescent="0.25">
      <c r="A11" s="23">
        <v>44105</v>
      </c>
      <c r="B11" s="109">
        <v>3561</v>
      </c>
      <c r="C11" s="24"/>
      <c r="D11" s="85">
        <f t="shared" si="0"/>
        <v>1.1948662024997903</v>
      </c>
      <c r="E11" s="160">
        <f t="shared" si="2"/>
        <v>1.182476321568634</v>
      </c>
      <c r="F11" s="87">
        <f t="shared" si="1"/>
        <v>3011.4767924283633</v>
      </c>
      <c r="G11" s="25">
        <v>10</v>
      </c>
      <c r="J11" t="s">
        <v>171</v>
      </c>
    </row>
    <row r="12" spans="1:15" ht="16" x14ac:dyDescent="0.2">
      <c r="A12" s="23">
        <v>44136</v>
      </c>
      <c r="B12" s="109">
        <v>3432</v>
      </c>
      <c r="C12" s="24"/>
      <c r="D12" s="85">
        <f t="shared" si="0"/>
        <v>1.1515812431842967</v>
      </c>
      <c r="E12" s="160">
        <f t="shared" si="2"/>
        <v>1.232884602717629</v>
      </c>
      <c r="F12" s="87">
        <f t="shared" si="1"/>
        <v>2783.7155176039137</v>
      </c>
      <c r="G12" s="25">
        <v>11</v>
      </c>
      <c r="J12" s="181"/>
      <c r="K12" s="181" t="s">
        <v>176</v>
      </c>
      <c r="L12" s="181" t="s">
        <v>177</v>
      </c>
      <c r="M12" s="181" t="s">
        <v>178</v>
      </c>
      <c r="N12" s="181" t="s">
        <v>179</v>
      </c>
      <c r="O12" s="181" t="s">
        <v>180</v>
      </c>
    </row>
    <row r="13" spans="1:15" ht="16" x14ac:dyDescent="0.2">
      <c r="A13" s="23">
        <v>44166</v>
      </c>
      <c r="B13" s="110">
        <v>4515</v>
      </c>
      <c r="C13" s="84">
        <f>AVERAGE(B2:B13)</f>
        <v>2980.25</v>
      </c>
      <c r="D13" s="85">
        <f t="shared" si="0"/>
        <v>1.5149735760422782</v>
      </c>
      <c r="E13" s="160">
        <f t="shared" si="2"/>
        <v>1.5886656585623395</v>
      </c>
      <c r="F13" s="87">
        <f t="shared" si="1"/>
        <v>2842.0076783719501</v>
      </c>
      <c r="G13" s="25">
        <v>12</v>
      </c>
      <c r="J13" t="s">
        <v>172</v>
      </c>
      <c r="K13">
        <v>1</v>
      </c>
      <c r="L13">
        <v>3233294.2650198652</v>
      </c>
      <c r="M13">
        <v>3233294.2650198652</v>
      </c>
      <c r="N13">
        <v>30.378193690414424</v>
      </c>
      <c r="O13">
        <v>3.7157456893295838E-6</v>
      </c>
    </row>
    <row r="14" spans="1:15" ht="16" x14ac:dyDescent="0.2">
      <c r="A14" s="23">
        <v>44197</v>
      </c>
      <c r="B14" s="109">
        <v>2434</v>
      </c>
      <c r="C14" s="24"/>
      <c r="D14" s="85">
        <f>B14/$C$25</f>
        <v>0.73699881405970069</v>
      </c>
      <c r="E14" s="85"/>
      <c r="F14" s="87">
        <f>B14/E2</f>
        <v>3316.3992277630277</v>
      </c>
      <c r="G14" s="25">
        <v>13</v>
      </c>
      <c r="J14" t="s">
        <v>173</v>
      </c>
      <c r="K14">
        <v>34</v>
      </c>
      <c r="L14">
        <v>3618780.1727448828</v>
      </c>
      <c r="M14">
        <v>106434.71096308478</v>
      </c>
    </row>
    <row r="15" spans="1:15" ht="17" thickBot="1" x14ac:dyDescent="0.25">
      <c r="A15" s="23">
        <v>44228</v>
      </c>
      <c r="B15" s="109">
        <v>2627</v>
      </c>
      <c r="C15" s="24"/>
      <c r="D15" s="85">
        <f t="shared" ref="D15:D25" si="3">B15/$C$25</f>
        <v>0.79543791476369508</v>
      </c>
      <c r="E15" s="85"/>
      <c r="F15" s="87">
        <f t="shared" ref="F15:F25" si="4">B15/E3</f>
        <v>3185.5561556669149</v>
      </c>
      <c r="G15" s="25">
        <v>14</v>
      </c>
      <c r="J15" s="180" t="s">
        <v>174</v>
      </c>
      <c r="K15" s="180">
        <v>35</v>
      </c>
      <c r="L15" s="180">
        <v>6852074.437764748</v>
      </c>
      <c r="M15" s="180"/>
      <c r="N15" s="180"/>
      <c r="O15" s="180"/>
    </row>
    <row r="16" spans="1:15" ht="17" thickBot="1" x14ac:dyDescent="0.25">
      <c r="A16" s="23">
        <v>44256</v>
      </c>
      <c r="B16" s="109">
        <v>2710</v>
      </c>
      <c r="C16" s="24"/>
      <c r="D16" s="85">
        <f t="shared" si="3"/>
        <v>0.82056975599909154</v>
      </c>
      <c r="E16" s="85"/>
      <c r="F16" s="87">
        <f t="shared" si="4"/>
        <v>3207.6117027349433</v>
      </c>
      <c r="G16" s="25">
        <v>15</v>
      </c>
    </row>
    <row r="17" spans="1:18" ht="16" x14ac:dyDescent="0.2">
      <c r="A17" s="23">
        <v>44287</v>
      </c>
      <c r="B17" s="109">
        <v>2986</v>
      </c>
      <c r="C17" s="24"/>
      <c r="D17" s="85">
        <f t="shared" si="3"/>
        <v>0.90414069793848251</v>
      </c>
      <c r="E17" s="85"/>
      <c r="F17" s="87">
        <f t="shared" si="4"/>
        <v>3168.042027610149</v>
      </c>
      <c r="G17" s="25">
        <v>16</v>
      </c>
      <c r="J17" s="181"/>
      <c r="K17" s="181" t="s">
        <v>181</v>
      </c>
      <c r="L17" s="181" t="s">
        <v>169</v>
      </c>
      <c r="M17" s="181" t="s">
        <v>182</v>
      </c>
      <c r="N17" s="181" t="s">
        <v>183</v>
      </c>
      <c r="O17" s="181" t="s">
        <v>184</v>
      </c>
      <c r="P17" s="181" t="s">
        <v>185</v>
      </c>
      <c r="Q17" s="181" t="s">
        <v>186</v>
      </c>
      <c r="R17" s="181" t="s">
        <v>187</v>
      </c>
    </row>
    <row r="18" spans="1:18" ht="16" x14ac:dyDescent="0.2">
      <c r="A18" s="23">
        <v>44317</v>
      </c>
      <c r="B18" s="109">
        <v>3602</v>
      </c>
      <c r="C18" s="24"/>
      <c r="D18" s="85">
        <f t="shared" si="3"/>
        <v>1.0906613509626302</v>
      </c>
      <c r="E18" s="85"/>
      <c r="F18" s="87">
        <f t="shared" si="4"/>
        <v>3327.7797079584152</v>
      </c>
      <c r="G18" s="25">
        <v>17</v>
      </c>
      <c r="J18" t="s">
        <v>175</v>
      </c>
      <c r="K18">
        <v>2809.0228649101136</v>
      </c>
      <c r="L18">
        <v>111.0536399802608</v>
      </c>
      <c r="M18">
        <v>25.294289006730466</v>
      </c>
      <c r="N18">
        <v>1.240838063904361E-23</v>
      </c>
      <c r="O18">
        <v>2583.3347148204821</v>
      </c>
      <c r="P18">
        <v>3034.7110149997452</v>
      </c>
      <c r="Q18">
        <v>2583.3347148204821</v>
      </c>
      <c r="R18">
        <v>3034.7110149997452</v>
      </c>
    </row>
    <row r="19" spans="1:18" ht="17" thickBot="1" x14ac:dyDescent="0.25">
      <c r="A19" s="23">
        <v>44348</v>
      </c>
      <c r="B19" s="109">
        <v>3487</v>
      </c>
      <c r="C19" s="24"/>
      <c r="D19" s="85">
        <f t="shared" si="3"/>
        <v>1.0558401251545506</v>
      </c>
      <c r="E19" s="85"/>
      <c r="F19" s="87">
        <f t="shared" si="4"/>
        <v>3240.6979292016431</v>
      </c>
      <c r="G19" s="25">
        <v>18</v>
      </c>
      <c r="J19" s="180" t="s">
        <v>12</v>
      </c>
      <c r="K19" s="180">
        <v>28.848756924118746</v>
      </c>
      <c r="L19" s="180">
        <v>5.2341495964693276</v>
      </c>
      <c r="M19" s="180">
        <v>5.5116416511248643</v>
      </c>
      <c r="N19" s="180">
        <v>3.715745689329591E-6</v>
      </c>
      <c r="O19" s="180">
        <v>18.211685145746401</v>
      </c>
      <c r="P19" s="180">
        <v>39.485828702491091</v>
      </c>
      <c r="Q19" s="180">
        <v>18.211685145746401</v>
      </c>
      <c r="R19" s="180">
        <v>39.485828702491091</v>
      </c>
    </row>
    <row r="20" spans="1:18" ht="16" x14ac:dyDescent="0.2">
      <c r="A20" s="23">
        <v>44378</v>
      </c>
      <c r="B20" s="109">
        <v>2626</v>
      </c>
      <c r="C20" s="24"/>
      <c r="D20" s="85">
        <f t="shared" si="3"/>
        <v>0.79513512149579868</v>
      </c>
      <c r="E20" s="85"/>
      <c r="F20" s="87">
        <f t="shared" si="4"/>
        <v>3949.529687560414</v>
      </c>
      <c r="G20" s="25">
        <v>19</v>
      </c>
    </row>
    <row r="21" spans="1:18" ht="16" x14ac:dyDescent="0.2">
      <c r="A21" s="23">
        <v>44409</v>
      </c>
      <c r="B21" s="109">
        <v>3045</v>
      </c>
      <c r="C21" s="24"/>
      <c r="D21" s="85">
        <f t="shared" si="3"/>
        <v>0.92200550074436671</v>
      </c>
      <c r="E21" s="85"/>
      <c r="F21" s="87">
        <f t="shared" si="4"/>
        <v>3434.4267577846754</v>
      </c>
      <c r="G21" s="25">
        <v>20</v>
      </c>
    </row>
    <row r="22" spans="1:18" ht="16" x14ac:dyDescent="0.2">
      <c r="A22" s="23">
        <v>44440</v>
      </c>
      <c r="B22" s="109">
        <v>3044</v>
      </c>
      <c r="C22" s="24"/>
      <c r="D22" s="85">
        <f t="shared" si="3"/>
        <v>0.92170270747647043</v>
      </c>
      <c r="E22" s="85"/>
      <c r="F22" s="87">
        <f t="shared" si="4"/>
        <v>3238.0379104549229</v>
      </c>
      <c r="G22" s="25">
        <v>21</v>
      </c>
    </row>
    <row r="23" spans="1:18" ht="16" x14ac:dyDescent="0.2">
      <c r="A23" s="23">
        <v>44470</v>
      </c>
      <c r="B23" s="109">
        <v>3794</v>
      </c>
      <c r="C23" s="24"/>
      <c r="D23" s="85">
        <f t="shared" si="3"/>
        <v>1.1487976583987283</v>
      </c>
      <c r="E23" s="85"/>
      <c r="F23" s="87">
        <f t="shared" si="4"/>
        <v>3208.5209071814688</v>
      </c>
      <c r="G23" s="25">
        <v>22</v>
      </c>
    </row>
    <row r="24" spans="1:18" ht="16" x14ac:dyDescent="0.2">
      <c r="A24" s="23">
        <v>44501</v>
      </c>
      <c r="B24" s="109">
        <v>4275</v>
      </c>
      <c r="C24" s="24"/>
      <c r="D24" s="85">
        <f t="shared" si="3"/>
        <v>1.2944412202568696</v>
      </c>
      <c r="E24" s="85"/>
      <c r="F24" s="87">
        <f t="shared" si="4"/>
        <v>3467.4778082041757</v>
      </c>
      <c r="G24" s="25">
        <v>23</v>
      </c>
    </row>
    <row r="25" spans="1:18" ht="16" x14ac:dyDescent="0.2">
      <c r="A25" s="23">
        <v>44531</v>
      </c>
      <c r="B25" s="110">
        <v>5001</v>
      </c>
      <c r="C25" s="27">
        <f>AVERAGE(B14:B25)</f>
        <v>3302.5833333333335</v>
      </c>
      <c r="D25" s="85">
        <f t="shared" si="3"/>
        <v>1.5142691327496152</v>
      </c>
      <c r="E25" s="86"/>
      <c r="F25" s="87">
        <f t="shared" si="4"/>
        <v>3147.924783950858</v>
      </c>
      <c r="G25" s="25">
        <v>24</v>
      </c>
    </row>
    <row r="26" spans="1:18" ht="16" x14ac:dyDescent="0.2">
      <c r="A26" s="23">
        <v>44562</v>
      </c>
      <c r="B26" s="109">
        <v>2476</v>
      </c>
      <c r="C26" s="24"/>
      <c r="D26" s="85">
        <f>B26/$C$37</f>
        <v>0.6611629097220677</v>
      </c>
      <c r="E26" s="85"/>
      <c r="F26" s="87">
        <f>B26/E2</f>
        <v>3373.625508603639</v>
      </c>
      <c r="G26" s="25">
        <v>25</v>
      </c>
    </row>
    <row r="27" spans="1:18" ht="16" x14ac:dyDescent="0.2">
      <c r="A27" s="23">
        <v>44593</v>
      </c>
      <c r="B27" s="109">
        <v>3039</v>
      </c>
      <c r="C27" s="24"/>
      <c r="D27" s="85">
        <f t="shared" ref="D27:D37" si="5">B27/$C$37</f>
        <v>0.8115000333785799</v>
      </c>
      <c r="E27" s="85"/>
      <c r="F27" s="87">
        <f t="shared" ref="F27:F37" si="6">B27/E3</f>
        <v>3685.1561313558254</v>
      </c>
      <c r="G27" s="25">
        <v>26</v>
      </c>
    </row>
    <row r="28" spans="1:18" ht="16" x14ac:dyDescent="0.2">
      <c r="A28" s="23">
        <v>44621</v>
      </c>
      <c r="B28" s="109">
        <v>3050</v>
      </c>
      <c r="C28" s="24"/>
      <c r="D28" s="85">
        <f t="shared" si="5"/>
        <v>0.81443734840561655</v>
      </c>
      <c r="E28" s="85"/>
      <c r="F28" s="87">
        <f t="shared" si="6"/>
        <v>3610.042691269955</v>
      </c>
      <c r="G28" s="25">
        <v>27</v>
      </c>
    </row>
    <row r="29" spans="1:18" ht="16" x14ac:dyDescent="0.2">
      <c r="A29" s="23">
        <v>44652</v>
      </c>
      <c r="B29" s="109">
        <v>3431</v>
      </c>
      <c r="C29" s="24"/>
      <c r="D29" s="85">
        <f t="shared" si="5"/>
        <v>0.91617525979661318</v>
      </c>
      <c r="E29" s="85"/>
      <c r="F29" s="87">
        <f t="shared" si="6"/>
        <v>3640.1715327295451</v>
      </c>
      <c r="G29" s="25">
        <v>28</v>
      </c>
    </row>
    <row r="30" spans="1:18" ht="16" x14ac:dyDescent="0.2">
      <c r="A30" s="23">
        <v>44682</v>
      </c>
      <c r="B30" s="109">
        <v>3712</v>
      </c>
      <c r="C30" s="24"/>
      <c r="D30" s="85">
        <f t="shared" si="5"/>
        <v>0.99121030730545856</v>
      </c>
      <c r="E30" s="85"/>
      <c r="F30" s="87">
        <f t="shared" si="6"/>
        <v>3429.4054069799108</v>
      </c>
      <c r="G30" s="25">
        <v>29</v>
      </c>
    </row>
    <row r="31" spans="1:18" ht="16" x14ac:dyDescent="0.2">
      <c r="A31" s="23">
        <v>44713</v>
      </c>
      <c r="B31" s="109">
        <v>3915</v>
      </c>
      <c r="C31" s="24"/>
      <c r="D31" s="85">
        <f t="shared" si="5"/>
        <v>1.0454171209862257</v>
      </c>
      <c r="E31" s="85"/>
      <c r="F31" s="87">
        <f t="shared" si="6"/>
        <v>3638.4664160666566</v>
      </c>
      <c r="G31" s="25">
        <v>30</v>
      </c>
    </row>
    <row r="32" spans="1:18" ht="16" x14ac:dyDescent="0.2">
      <c r="A32" s="23">
        <v>44743</v>
      </c>
      <c r="B32" s="109">
        <v>2983</v>
      </c>
      <c r="C32" s="24"/>
      <c r="D32" s="85">
        <f t="shared" si="5"/>
        <v>0.79654642960457511</v>
      </c>
      <c r="E32" s="85"/>
      <c r="F32" s="87">
        <f t="shared" si="6"/>
        <v>4486.4611797382768</v>
      </c>
      <c r="G32" s="25">
        <v>31</v>
      </c>
    </row>
    <row r="33" spans="1:9" ht="16" x14ac:dyDescent="0.2">
      <c r="A33" s="23">
        <v>44774</v>
      </c>
      <c r="B33" s="109">
        <v>3305</v>
      </c>
      <c r="C33" s="24"/>
      <c r="D33" s="85">
        <f t="shared" si="5"/>
        <v>0.88252965130510252</v>
      </c>
      <c r="E33" s="85"/>
      <c r="F33" s="87">
        <f t="shared" si="6"/>
        <v>3727.6783036053703</v>
      </c>
      <c r="G33" s="25">
        <v>32</v>
      </c>
    </row>
    <row r="34" spans="1:9" ht="16" x14ac:dyDescent="0.2">
      <c r="A34" s="23">
        <v>44805</v>
      </c>
      <c r="B34" s="109">
        <v>3325</v>
      </c>
      <c r="C34" s="24"/>
      <c r="D34" s="85">
        <f t="shared" si="5"/>
        <v>0.88787022408153282</v>
      </c>
      <c r="E34" s="85"/>
      <c r="F34" s="87">
        <f t="shared" si="6"/>
        <v>3536.9500828720825</v>
      </c>
      <c r="G34" s="25">
        <v>33</v>
      </c>
    </row>
    <row r="35" spans="1:9" ht="16" x14ac:dyDescent="0.2">
      <c r="A35" s="23">
        <v>44835</v>
      </c>
      <c r="B35" s="109">
        <v>4508</v>
      </c>
      <c r="C35" s="24"/>
      <c r="D35" s="85">
        <f t="shared" si="5"/>
        <v>1.2037651038073833</v>
      </c>
      <c r="E35" s="85"/>
      <c r="F35" s="87">
        <f t="shared" si="6"/>
        <v>3812.3384948798266</v>
      </c>
      <c r="G35" s="25">
        <v>34</v>
      </c>
      <c r="I35" s="161"/>
    </row>
    <row r="36" spans="1:9" ht="17" thickBot="1" x14ac:dyDescent="0.25">
      <c r="A36" s="23">
        <v>44866</v>
      </c>
      <c r="B36" s="109">
        <v>4691</v>
      </c>
      <c r="C36" s="24"/>
      <c r="D36" s="85">
        <f t="shared" si="5"/>
        <v>1.2526313447117203</v>
      </c>
      <c r="E36" s="85"/>
      <c r="F36" s="87">
        <f t="shared" si="6"/>
        <v>3804.8978709440439</v>
      </c>
      <c r="G36" s="25">
        <v>35</v>
      </c>
      <c r="H36" s="8" t="s">
        <v>139</v>
      </c>
    </row>
    <row r="37" spans="1:9" ht="17" thickBot="1" x14ac:dyDescent="0.25">
      <c r="A37" s="23">
        <v>44896</v>
      </c>
      <c r="B37" s="177">
        <v>6504</v>
      </c>
      <c r="C37" s="139">
        <f>AVERAGE(B26:B37)</f>
        <v>3744.9166666666665</v>
      </c>
      <c r="D37" s="85">
        <f t="shared" si="5"/>
        <v>1.7367542668951246</v>
      </c>
      <c r="E37" s="85"/>
      <c r="F37" s="87">
        <f t="shared" si="6"/>
        <v>4094.0017586115537</v>
      </c>
      <c r="G37" s="25">
        <v>36</v>
      </c>
      <c r="H37" s="90" t="s">
        <v>42</v>
      </c>
      <c r="I37" s="90" t="s">
        <v>140</v>
      </c>
    </row>
    <row r="38" spans="1:9" x14ac:dyDescent="0.2">
      <c r="A38" s="138"/>
      <c r="B38" s="164" t="s">
        <v>141</v>
      </c>
      <c r="C38" s="165"/>
      <c r="D38" s="165"/>
      <c r="E38" s="166"/>
      <c r="F38" s="167"/>
      <c r="G38" s="25">
        <v>37</v>
      </c>
      <c r="H38" s="89">
        <f>$K$19*G38+$K$18</f>
        <v>3876.426871102507</v>
      </c>
      <c r="I38" s="89">
        <f>H38*E2</f>
        <v>2845.0202633256954</v>
      </c>
    </row>
    <row r="39" spans="1:9" x14ac:dyDescent="0.2">
      <c r="A39" s="143"/>
      <c r="B39" s="168"/>
      <c r="C39" s="169"/>
      <c r="D39" s="169"/>
      <c r="E39" s="170"/>
      <c r="F39" s="171"/>
      <c r="G39" s="25">
        <v>38</v>
      </c>
      <c r="H39" s="89">
        <f>$K$19*G39+$K$18</f>
        <v>3905.2756280266258</v>
      </c>
      <c r="I39" s="89">
        <f t="shared" ref="I39:I48" si="7">H39*E3</f>
        <v>3220.5236930372466</v>
      </c>
    </row>
    <row r="40" spans="1:9" x14ac:dyDescent="0.2">
      <c r="A40" s="143"/>
      <c r="B40" s="162" t="s">
        <v>142</v>
      </c>
      <c r="C40" s="163"/>
      <c r="D40" s="163"/>
      <c r="E40" s="170"/>
      <c r="F40" s="171"/>
      <c r="G40" s="25">
        <v>39</v>
      </c>
      <c r="H40" s="89">
        <f>$K$19*G40+$K$18</f>
        <v>3934.1243849507446</v>
      </c>
      <c r="I40" s="89">
        <f t="shared" si="7"/>
        <v>3323.8053951873594</v>
      </c>
    </row>
    <row r="41" spans="1:9" x14ac:dyDescent="0.2">
      <c r="A41" s="143"/>
      <c r="B41" s="162"/>
      <c r="C41" s="163"/>
      <c r="D41" s="163"/>
      <c r="E41" s="170"/>
      <c r="F41" s="171"/>
      <c r="G41" s="25">
        <v>40</v>
      </c>
      <c r="H41" s="89">
        <f t="shared" ref="H41:H49" si="8">$K$19*G41+$K$18</f>
        <v>3962.9731418748634</v>
      </c>
      <c r="I41" s="89">
        <f t="shared" si="7"/>
        <v>3735.2527834250482</v>
      </c>
    </row>
    <row r="42" spans="1:9" x14ac:dyDescent="0.2">
      <c r="A42" s="143"/>
      <c r="B42" s="168"/>
      <c r="C42" s="169"/>
      <c r="D42" s="169"/>
      <c r="E42" s="170"/>
      <c r="F42" s="171"/>
      <c r="G42" s="25">
        <v>41</v>
      </c>
      <c r="H42" s="89">
        <f t="shared" si="8"/>
        <v>3991.8218987989821</v>
      </c>
      <c r="I42" s="89">
        <f t="shared" si="7"/>
        <v>4320.7615110722381</v>
      </c>
    </row>
    <row r="43" spans="1:9" x14ac:dyDescent="0.2">
      <c r="A43" s="143"/>
      <c r="B43" s="168"/>
      <c r="C43" s="169"/>
      <c r="D43" s="169"/>
      <c r="E43" s="170"/>
      <c r="F43" s="171"/>
      <c r="G43" s="25">
        <v>42</v>
      </c>
      <c r="H43" s="89">
        <f t="shared" si="8"/>
        <v>4020.6706557231009</v>
      </c>
      <c r="I43" s="89">
        <f t="shared" si="7"/>
        <v>4326.2528266435338</v>
      </c>
    </row>
    <row r="44" spans="1:9" x14ac:dyDescent="0.2">
      <c r="A44" s="143"/>
      <c r="B44" s="168"/>
      <c r="C44" s="169"/>
      <c r="D44" s="169"/>
      <c r="E44" s="170"/>
      <c r="F44" s="171"/>
      <c r="G44" s="25">
        <v>43</v>
      </c>
      <c r="H44" s="89">
        <f t="shared" si="8"/>
        <v>4049.5194126472197</v>
      </c>
      <c r="I44" s="89">
        <f t="shared" si="7"/>
        <v>2692.4820975785956</v>
      </c>
    </row>
    <row r="45" spans="1:9" x14ac:dyDescent="0.2">
      <c r="A45" s="143"/>
      <c r="B45" s="168"/>
      <c r="C45" s="169"/>
      <c r="D45" s="169"/>
      <c r="E45" s="170"/>
      <c r="F45" s="171"/>
      <c r="G45" s="25">
        <v>44</v>
      </c>
      <c r="H45" s="89">
        <f t="shared" si="8"/>
        <v>4078.3681695713385</v>
      </c>
      <c r="I45" s="89">
        <f t="shared" si="7"/>
        <v>3615.9254373953149</v>
      </c>
    </row>
    <row r="46" spans="1:9" x14ac:dyDescent="0.2">
      <c r="A46" s="143"/>
      <c r="B46" s="168"/>
      <c r="C46" s="169"/>
      <c r="D46" s="169"/>
      <c r="E46" s="170"/>
      <c r="F46" s="171"/>
      <c r="G46" s="25">
        <v>45</v>
      </c>
      <c r="H46" s="89">
        <f t="shared" si="8"/>
        <v>4107.2169264954573</v>
      </c>
      <c r="I46" s="89">
        <f t="shared" si="7"/>
        <v>3861.0938691868719</v>
      </c>
    </row>
    <row r="47" spans="1:9" x14ac:dyDescent="0.2">
      <c r="A47" s="143"/>
      <c r="B47" s="168"/>
      <c r="C47" s="169"/>
      <c r="D47" s="169"/>
      <c r="E47" s="170"/>
      <c r="F47" s="171"/>
      <c r="G47" s="25">
        <v>46</v>
      </c>
      <c r="H47" s="89">
        <f t="shared" si="8"/>
        <v>4136.0656834195761</v>
      </c>
      <c r="I47" s="89">
        <f t="shared" si="7"/>
        <v>4890.7997350962387</v>
      </c>
    </row>
    <row r="48" spans="1:9" x14ac:dyDescent="0.2">
      <c r="A48" s="143"/>
      <c r="B48" s="168"/>
      <c r="C48" s="169"/>
      <c r="D48" s="169"/>
      <c r="E48" s="170"/>
      <c r="F48" s="171"/>
      <c r="G48" s="25">
        <v>47</v>
      </c>
      <c r="H48" s="89">
        <f t="shared" si="8"/>
        <v>4164.9144403436949</v>
      </c>
      <c r="I48" s="89">
        <f t="shared" si="7"/>
        <v>5134.8588851360528</v>
      </c>
    </row>
    <row r="49" spans="1:9" ht="16" thickBot="1" x14ac:dyDescent="0.25">
      <c r="A49" s="143"/>
      <c r="B49" s="172"/>
      <c r="C49" s="173"/>
      <c r="D49" s="173"/>
      <c r="E49" s="174"/>
      <c r="F49" s="175"/>
      <c r="G49" s="25">
        <v>48</v>
      </c>
      <c r="H49" s="89">
        <f t="shared" si="8"/>
        <v>4193.7631972678137</v>
      </c>
      <c r="I49" s="89">
        <f>H49*E13</f>
        <v>6662.4875716419738</v>
      </c>
    </row>
    <row r="50" spans="1:9" ht="52" thickBot="1" x14ac:dyDescent="0.25">
      <c r="C50" s="140" t="s">
        <v>137</v>
      </c>
      <c r="E50" s="141" t="s">
        <v>109</v>
      </c>
      <c r="F50" s="142" t="s">
        <v>107</v>
      </c>
      <c r="H50" s="117" t="s">
        <v>138</v>
      </c>
      <c r="I50" s="91">
        <f>AVERAGE(I38:I49)</f>
        <v>4052.4386723938478</v>
      </c>
    </row>
    <row r="51" spans="1:9" ht="16" customHeight="1" thickBot="1" x14ac:dyDescent="0.25">
      <c r="C51" s="97">
        <f>MAX(C37,C25,C13)</f>
        <v>3744.9166666666665</v>
      </c>
      <c r="E51" s="95">
        <f>MAX(E2:E13)</f>
        <v>1.5886656585623395</v>
      </c>
      <c r="F51" s="92">
        <f>SUM(F2:F37)</f>
        <v>120338.09524822717</v>
      </c>
      <c r="H51" s="231" t="s">
        <v>95</v>
      </c>
      <c r="I51" s="231"/>
    </row>
    <row r="52" spans="1:9" ht="52" thickBot="1" x14ac:dyDescent="0.25">
      <c r="C52" s="59" t="s">
        <v>106</v>
      </c>
      <c r="F52" s="93" t="s">
        <v>108</v>
      </c>
      <c r="H52" s="231"/>
      <c r="I52" s="231"/>
    </row>
    <row r="53" spans="1:9" ht="16" thickBot="1" x14ac:dyDescent="0.25">
      <c r="C53" s="67">
        <f>SUM(B2:B37)</f>
        <v>120333</v>
      </c>
      <c r="F53" s="94">
        <f>AVERAGE(F2:F37)</f>
        <v>3342.7248680063103</v>
      </c>
    </row>
    <row r="54" spans="1:9" ht="16" thickBot="1" x14ac:dyDescent="0.25">
      <c r="C54" s="69" t="s">
        <v>125</v>
      </c>
    </row>
    <row r="55" spans="1:9" ht="16" thickBot="1" x14ac:dyDescent="0.25">
      <c r="C55" s="96">
        <f>AVERAGE(C13,C25,C37)</f>
        <v>3342.5833333333335</v>
      </c>
    </row>
    <row r="100" spans="26:26" x14ac:dyDescent="0.2">
      <c r="Z100" t="s">
        <v>100</v>
      </c>
    </row>
    <row r="102" spans="26:26" x14ac:dyDescent="0.2">
      <c r="Z102" t="s">
        <v>99</v>
      </c>
    </row>
  </sheetData>
  <mergeCells count="1">
    <mergeCell ref="H51:I52"/>
  </mergeCells>
  <pageMargins left="0.7" right="0.7" top="0.75" bottom="0.75" header="0.3" footer="0.3"/>
  <pageSetup orientation="portrait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B15334-9214-44BF-9E53-91B8F829E777}">
  <sheetPr codeName="Sheet6"/>
  <dimension ref="A1:Z201"/>
  <sheetViews>
    <sheetView topLeftCell="A21" zoomScale="90" workbookViewId="0">
      <selection activeCell="N50" sqref="N50"/>
    </sheetView>
  </sheetViews>
  <sheetFormatPr baseColWidth="10" defaultColWidth="8.83203125" defaultRowHeight="15" x14ac:dyDescent="0.2"/>
  <cols>
    <col min="1" max="1" width="27.5" bestFit="1" customWidth="1"/>
    <col min="2" max="4" width="13.5" customWidth="1"/>
    <col min="5" max="5" width="16.83203125" bestFit="1" customWidth="1"/>
    <col min="6" max="13" width="13.5" customWidth="1"/>
    <col min="14" max="14" width="14.5" bestFit="1" customWidth="1"/>
  </cols>
  <sheetData>
    <row r="1" spans="1:26" x14ac:dyDescent="0.2">
      <c r="A1" s="28" t="s">
        <v>43</v>
      </c>
      <c r="B1" s="232" t="s">
        <v>113</v>
      </c>
      <c r="C1" s="232"/>
      <c r="D1" s="233"/>
      <c r="E1" s="29" t="s">
        <v>31</v>
      </c>
      <c r="F1" s="29" t="s">
        <v>32</v>
      </c>
      <c r="G1" s="29" t="s">
        <v>33</v>
      </c>
      <c r="Z1" t="s">
        <v>143</v>
      </c>
    </row>
    <row r="2" spans="1:26" x14ac:dyDescent="0.2">
      <c r="A2" s="56"/>
      <c r="B2" s="232"/>
      <c r="C2" s="232"/>
      <c r="D2" s="233"/>
      <c r="E2" s="183">
        <v>4000</v>
      </c>
      <c r="F2" s="29">
        <v>3</v>
      </c>
      <c r="G2" s="29">
        <v>1.25</v>
      </c>
      <c r="Z2" t="s">
        <v>11</v>
      </c>
    </row>
    <row r="3" spans="1:26" ht="16" thickBot="1" x14ac:dyDescent="0.25">
      <c r="A3" s="28" t="s">
        <v>44</v>
      </c>
    </row>
    <row r="4" spans="1:26" x14ac:dyDescent="0.2">
      <c r="A4" s="62" t="s">
        <v>7</v>
      </c>
      <c r="B4" s="60">
        <v>44927</v>
      </c>
      <c r="C4" s="60">
        <v>44958</v>
      </c>
      <c r="D4" s="60">
        <v>44986</v>
      </c>
      <c r="E4" s="60">
        <v>45017</v>
      </c>
      <c r="F4" s="60">
        <v>45047</v>
      </c>
      <c r="G4" s="60">
        <v>45078</v>
      </c>
      <c r="H4" s="60">
        <v>45108</v>
      </c>
      <c r="I4" s="60">
        <v>45139</v>
      </c>
      <c r="J4" s="60">
        <v>45170</v>
      </c>
      <c r="K4" s="60">
        <v>45200</v>
      </c>
      <c r="L4" s="60">
        <v>45231</v>
      </c>
      <c r="M4" s="60">
        <v>45261</v>
      </c>
      <c r="N4" s="70" t="s">
        <v>96</v>
      </c>
    </row>
    <row r="5" spans="1:26" x14ac:dyDescent="0.2">
      <c r="A5" s="30" t="s">
        <v>38</v>
      </c>
      <c r="B5" s="74">
        <f>'SI and regression Pt 2'!I38</f>
        <v>2845.0202633256954</v>
      </c>
      <c r="C5" s="74">
        <f>'SI and regression Pt 2'!I39</f>
        <v>3220.5236930372466</v>
      </c>
      <c r="D5" s="74">
        <f>'SI and regression Pt 2'!I40</f>
        <v>3323.8053951873594</v>
      </c>
      <c r="E5" s="74">
        <f>'SI and regression Pt 2'!I41</f>
        <v>3735.2527834250482</v>
      </c>
      <c r="F5" s="74">
        <f>'SI and regression Pt 2'!I42</f>
        <v>4320.7615110722381</v>
      </c>
      <c r="G5" s="74">
        <f>'SI and regression Pt 2'!I43</f>
        <v>4326.2528266435338</v>
      </c>
      <c r="H5" s="74">
        <f>'SI and regression Pt 2'!I44</f>
        <v>2692.4820975785956</v>
      </c>
      <c r="I5" s="74">
        <f>'SI and regression Pt 2'!I45</f>
        <v>3615.9254373953149</v>
      </c>
      <c r="J5" s="74">
        <f>'SI and regression Pt 2'!I46</f>
        <v>3861.0938691868719</v>
      </c>
      <c r="K5" s="74">
        <f>'SI and regression Pt 2'!I47</f>
        <v>4890.7997350962387</v>
      </c>
      <c r="L5" s="74">
        <f>'SI and regression Pt 2'!I48</f>
        <v>5134.8588851360528</v>
      </c>
      <c r="M5" s="74">
        <f>'SI and regression Pt 2'!I49</f>
        <v>6662.4875716419738</v>
      </c>
      <c r="N5" s="71">
        <f>SUM(B5:M5)</f>
        <v>48629.264068726174</v>
      </c>
    </row>
    <row r="6" spans="1:26" x14ac:dyDescent="0.2">
      <c r="A6" s="30" t="s">
        <v>45</v>
      </c>
      <c r="B6" s="74">
        <f>MIN(B5,$E$2)</f>
        <v>2845.0202633256954</v>
      </c>
      <c r="C6" s="74">
        <f t="shared" ref="C6:M6" si="0">MIN(C5,$E$2)</f>
        <v>3220.5236930372466</v>
      </c>
      <c r="D6" s="74">
        <f>MIN(D5,$E$2)</f>
        <v>3323.8053951873594</v>
      </c>
      <c r="E6" s="74">
        <f t="shared" si="0"/>
        <v>3735.2527834250482</v>
      </c>
      <c r="F6" s="74">
        <f t="shared" si="0"/>
        <v>4000</v>
      </c>
      <c r="G6" s="74">
        <f t="shared" si="0"/>
        <v>4000</v>
      </c>
      <c r="H6" s="74">
        <f t="shared" si="0"/>
        <v>2692.4820975785956</v>
      </c>
      <c r="I6" s="74">
        <f t="shared" si="0"/>
        <v>3615.9254373953149</v>
      </c>
      <c r="J6" s="74">
        <f t="shared" si="0"/>
        <v>3861.0938691868719</v>
      </c>
      <c r="K6" s="74">
        <f t="shared" si="0"/>
        <v>4000</v>
      </c>
      <c r="L6" s="74">
        <f t="shared" si="0"/>
        <v>4000</v>
      </c>
      <c r="M6" s="74">
        <f t="shared" si="0"/>
        <v>4000</v>
      </c>
      <c r="N6" s="71">
        <f>SUM(B6:M6)</f>
        <v>43294.103539136137</v>
      </c>
    </row>
    <row r="7" spans="1:26" x14ac:dyDescent="0.2">
      <c r="A7" s="30" t="s">
        <v>46</v>
      </c>
      <c r="B7" s="74">
        <f>IF($E$2&gt;B5, $E$2-B5, 0)</f>
        <v>1154.9797366743046</v>
      </c>
      <c r="C7" s="74">
        <f t="shared" ref="C7:M7" si="1">IF($E$2&gt;C5, $E$2-C5, 0)</f>
        <v>779.47630696275337</v>
      </c>
      <c r="D7" s="74">
        <f t="shared" si="1"/>
        <v>676.19460481264059</v>
      </c>
      <c r="E7" s="74">
        <f t="shared" si="1"/>
        <v>264.74721657495184</v>
      </c>
      <c r="F7" s="74">
        <f t="shared" si="1"/>
        <v>0</v>
      </c>
      <c r="G7" s="74">
        <f t="shared" si="1"/>
        <v>0</v>
      </c>
      <c r="H7" s="74">
        <f t="shared" si="1"/>
        <v>1307.5179024214044</v>
      </c>
      <c r="I7" s="74">
        <f t="shared" si="1"/>
        <v>384.07456260468507</v>
      </c>
      <c r="J7" s="74">
        <f t="shared" si="1"/>
        <v>138.90613081312813</v>
      </c>
      <c r="K7" s="74">
        <f t="shared" si="1"/>
        <v>0</v>
      </c>
      <c r="L7" s="74">
        <f t="shared" si="1"/>
        <v>0</v>
      </c>
      <c r="M7" s="74">
        <f t="shared" si="1"/>
        <v>0</v>
      </c>
      <c r="N7" s="71">
        <f t="shared" ref="N7:N8" si="2">SUM(B7:M7)</f>
        <v>4705.8964608638671</v>
      </c>
    </row>
    <row r="8" spans="1:26" x14ac:dyDescent="0.2">
      <c r="A8" s="31" t="s">
        <v>47</v>
      </c>
      <c r="B8" s="75">
        <f>IF(B5&gt;$E$2, B5-$E$2, 0)</f>
        <v>0</v>
      </c>
      <c r="C8" s="75">
        <f t="shared" ref="C8:M8" si="3">IF(C5&gt;$E$2, C5-$E$2, 0)</f>
        <v>0</v>
      </c>
      <c r="D8" s="75">
        <f t="shared" si="3"/>
        <v>0</v>
      </c>
      <c r="E8" s="75">
        <f t="shared" si="3"/>
        <v>0</v>
      </c>
      <c r="F8" s="75">
        <f t="shared" si="3"/>
        <v>320.76151107223814</v>
      </c>
      <c r="G8" s="75">
        <f t="shared" si="3"/>
        <v>326.25282664353381</v>
      </c>
      <c r="H8" s="75">
        <f t="shared" si="3"/>
        <v>0</v>
      </c>
      <c r="I8" s="75">
        <f t="shared" si="3"/>
        <v>0</v>
      </c>
      <c r="J8" s="75">
        <f t="shared" si="3"/>
        <v>0</v>
      </c>
      <c r="K8" s="75">
        <f t="shared" si="3"/>
        <v>890.79973509623869</v>
      </c>
      <c r="L8" s="75">
        <f t="shared" si="3"/>
        <v>1134.8588851360528</v>
      </c>
      <c r="M8" s="75">
        <f t="shared" si="3"/>
        <v>2662.4875716419738</v>
      </c>
      <c r="N8" s="71">
        <f t="shared" si="2"/>
        <v>5335.1605295900372</v>
      </c>
    </row>
    <row r="9" spans="1:26" x14ac:dyDescent="0.2">
      <c r="A9" s="63" t="s">
        <v>48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1"/>
    </row>
    <row r="10" spans="1:26" x14ac:dyDescent="0.2">
      <c r="A10" s="30" t="s">
        <v>49</v>
      </c>
      <c r="B10" s="74">
        <f>B6*2.99</f>
        <v>8506.61058734383</v>
      </c>
      <c r="C10" s="74">
        <f>C6*2.99</f>
        <v>9629.3658421813689</v>
      </c>
      <c r="D10" s="74">
        <f t="shared" ref="D10:M10" si="4">D6*2.99</f>
        <v>9938.178131610206</v>
      </c>
      <c r="E10" s="74">
        <f t="shared" si="4"/>
        <v>11168.405822440895</v>
      </c>
      <c r="F10" s="74">
        <f t="shared" si="4"/>
        <v>11960</v>
      </c>
      <c r="G10" s="74">
        <f t="shared" si="4"/>
        <v>11960</v>
      </c>
      <c r="H10" s="74">
        <f t="shared" si="4"/>
        <v>8050.5214717600011</v>
      </c>
      <c r="I10" s="74">
        <f t="shared" si="4"/>
        <v>10811.617057811993</v>
      </c>
      <c r="J10" s="74">
        <f t="shared" si="4"/>
        <v>11544.670668868748</v>
      </c>
      <c r="K10" s="74">
        <f t="shared" si="4"/>
        <v>11960</v>
      </c>
      <c r="L10" s="74">
        <f t="shared" si="4"/>
        <v>11960</v>
      </c>
      <c r="M10" s="74">
        <f t="shared" si="4"/>
        <v>11960</v>
      </c>
      <c r="N10" s="72">
        <f>SUM(B10:M10)</f>
        <v>129449.36958201704</v>
      </c>
    </row>
    <row r="11" spans="1:26" x14ac:dyDescent="0.2">
      <c r="A11" s="30" t="s">
        <v>50</v>
      </c>
      <c r="B11" s="74">
        <f>B6*2.5</f>
        <v>7112.5506583142387</v>
      </c>
      <c r="C11" s="74">
        <f t="shared" ref="C11:M11" si="5">C6*2.5</f>
        <v>8051.3092325931166</v>
      </c>
      <c r="D11" s="74">
        <f t="shared" si="5"/>
        <v>8309.5134879683992</v>
      </c>
      <c r="E11" s="74">
        <f t="shared" si="5"/>
        <v>9338.1319585626206</v>
      </c>
      <c r="F11" s="74">
        <f t="shared" si="5"/>
        <v>10000</v>
      </c>
      <c r="G11" s="74">
        <f t="shared" si="5"/>
        <v>10000</v>
      </c>
      <c r="H11" s="74">
        <f t="shared" si="5"/>
        <v>6731.2052439464887</v>
      </c>
      <c r="I11" s="74">
        <f t="shared" si="5"/>
        <v>9039.8135934882866</v>
      </c>
      <c r="J11" s="74">
        <f t="shared" si="5"/>
        <v>9652.734672967179</v>
      </c>
      <c r="K11" s="74">
        <f t="shared" si="5"/>
        <v>10000</v>
      </c>
      <c r="L11" s="74">
        <f t="shared" si="5"/>
        <v>10000</v>
      </c>
      <c r="M11" s="74">
        <f t="shared" si="5"/>
        <v>10000</v>
      </c>
      <c r="N11" s="72">
        <f t="shared" ref="N11:N13" si="6">SUM(B11:M11)</f>
        <v>108235.25884784033</v>
      </c>
    </row>
    <row r="12" spans="1:26" ht="16" thickBot="1" x14ac:dyDescent="0.25">
      <c r="A12" s="30" t="s">
        <v>51</v>
      </c>
      <c r="B12" s="77">
        <f>B7*$G$2</f>
        <v>1443.7246708428806</v>
      </c>
      <c r="C12" s="77">
        <f t="shared" ref="C12:M12" si="7">C7*$G$2</f>
        <v>974.34538370344171</v>
      </c>
      <c r="D12" s="77">
        <f t="shared" si="7"/>
        <v>845.24325601580074</v>
      </c>
      <c r="E12" s="77">
        <f t="shared" si="7"/>
        <v>330.93402071868979</v>
      </c>
      <c r="F12" s="77">
        <f t="shared" si="7"/>
        <v>0</v>
      </c>
      <c r="G12" s="77">
        <f t="shared" si="7"/>
        <v>0</v>
      </c>
      <c r="H12" s="77">
        <f t="shared" si="7"/>
        <v>1634.3973780267556</v>
      </c>
      <c r="I12" s="77">
        <f t="shared" si="7"/>
        <v>480.09320325585634</v>
      </c>
      <c r="J12" s="77">
        <f t="shared" si="7"/>
        <v>173.63266351641016</v>
      </c>
      <c r="K12" s="77">
        <f t="shared" si="7"/>
        <v>0</v>
      </c>
      <c r="L12" s="77">
        <f t="shared" si="7"/>
        <v>0</v>
      </c>
      <c r="M12" s="77">
        <f t="shared" si="7"/>
        <v>0</v>
      </c>
      <c r="N12" s="72">
        <f t="shared" si="6"/>
        <v>5882.3705760798357</v>
      </c>
    </row>
    <row r="13" spans="1:26" ht="16" thickTop="1" x14ac:dyDescent="0.2">
      <c r="A13" s="64" t="s">
        <v>52</v>
      </c>
      <c r="B13" s="75">
        <f>SUM(B10:B12)</f>
        <v>17062.885916500949</v>
      </c>
      <c r="C13" s="75">
        <f t="shared" ref="C13:M13" si="8">SUM(C10:C12)</f>
        <v>18655.020458477928</v>
      </c>
      <c r="D13" s="75">
        <f t="shared" si="8"/>
        <v>19092.934875594405</v>
      </c>
      <c r="E13" s="75">
        <f t="shared" si="8"/>
        <v>20837.471801722204</v>
      </c>
      <c r="F13" s="75">
        <f t="shared" si="8"/>
        <v>21960</v>
      </c>
      <c r="G13" s="75">
        <f t="shared" si="8"/>
        <v>21960</v>
      </c>
      <c r="H13" s="75">
        <f t="shared" si="8"/>
        <v>16416.124093733244</v>
      </c>
      <c r="I13" s="75">
        <f t="shared" si="8"/>
        <v>20331.523854556137</v>
      </c>
      <c r="J13" s="75">
        <f t="shared" si="8"/>
        <v>21371.038005352337</v>
      </c>
      <c r="K13" s="75">
        <f t="shared" si="8"/>
        <v>21960</v>
      </c>
      <c r="L13" s="75">
        <f t="shared" si="8"/>
        <v>21960</v>
      </c>
      <c r="M13" s="75">
        <f t="shared" si="8"/>
        <v>21960</v>
      </c>
      <c r="N13" s="72">
        <f t="shared" si="6"/>
        <v>243566.99900593722</v>
      </c>
    </row>
    <row r="14" spans="1:26" x14ac:dyDescent="0.2">
      <c r="A14" s="65" t="s">
        <v>53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1"/>
    </row>
    <row r="15" spans="1:26" x14ac:dyDescent="0.2">
      <c r="A15" s="30" t="s">
        <v>54</v>
      </c>
      <c r="B15" s="74">
        <v>5800</v>
      </c>
      <c r="C15" s="74">
        <v>5800</v>
      </c>
      <c r="D15" s="74">
        <v>5800</v>
      </c>
      <c r="E15" s="74">
        <v>5800</v>
      </c>
      <c r="F15" s="74">
        <v>5800</v>
      </c>
      <c r="G15" s="74">
        <v>5800</v>
      </c>
      <c r="H15" s="74">
        <v>5800</v>
      </c>
      <c r="I15" s="74">
        <v>5800</v>
      </c>
      <c r="J15" s="74">
        <v>5800</v>
      </c>
      <c r="K15" s="74">
        <v>5800</v>
      </c>
      <c r="L15" s="74">
        <v>5800</v>
      </c>
      <c r="M15" s="74">
        <v>5800</v>
      </c>
      <c r="N15" s="72">
        <f>SUM(B15:M15)</f>
        <v>69600</v>
      </c>
    </row>
    <row r="16" spans="1:26" x14ac:dyDescent="0.2">
      <c r="A16" s="58" t="s">
        <v>55</v>
      </c>
      <c r="B16" s="74">
        <v>5800</v>
      </c>
      <c r="C16" s="74">
        <v>5800</v>
      </c>
      <c r="D16" s="74">
        <v>5800</v>
      </c>
      <c r="E16" s="74">
        <v>5800</v>
      </c>
      <c r="F16" s="74">
        <v>5800</v>
      </c>
      <c r="G16" s="74">
        <v>5800</v>
      </c>
      <c r="H16" s="74">
        <v>5800</v>
      </c>
      <c r="I16" s="74">
        <v>5800</v>
      </c>
      <c r="J16" s="74">
        <v>5800</v>
      </c>
      <c r="K16" s="74">
        <v>5800</v>
      </c>
      <c r="L16" s="74">
        <v>5800</v>
      </c>
      <c r="M16" s="74">
        <v>5800</v>
      </c>
      <c r="N16" s="72">
        <f>SUM(B16:M16)</f>
        <v>69600</v>
      </c>
      <c r="P16" s="74"/>
    </row>
    <row r="17" spans="1:16" x14ac:dyDescent="0.2">
      <c r="A17" s="30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2"/>
      <c r="P17" s="74"/>
    </row>
    <row r="18" spans="1:16" x14ac:dyDescent="0.2">
      <c r="A18" s="30" t="s">
        <v>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2"/>
      <c r="P18" s="74"/>
    </row>
    <row r="19" spans="1:16" x14ac:dyDescent="0.2">
      <c r="A19" s="30" t="s">
        <v>57</v>
      </c>
      <c r="B19" s="74">
        <f>$E$2*0.5</f>
        <v>2000</v>
      </c>
      <c r="C19" s="74">
        <f t="shared" ref="C19:M19" si="9">$E$2*0.5</f>
        <v>2000</v>
      </c>
      <c r="D19" s="74">
        <f t="shared" si="9"/>
        <v>2000</v>
      </c>
      <c r="E19" s="74">
        <f t="shared" si="9"/>
        <v>2000</v>
      </c>
      <c r="F19" s="74">
        <f t="shared" si="9"/>
        <v>2000</v>
      </c>
      <c r="G19" s="74">
        <f t="shared" si="9"/>
        <v>2000</v>
      </c>
      <c r="H19" s="74">
        <f t="shared" si="9"/>
        <v>2000</v>
      </c>
      <c r="I19" s="74">
        <f t="shared" si="9"/>
        <v>2000</v>
      </c>
      <c r="J19" s="74">
        <f t="shared" si="9"/>
        <v>2000</v>
      </c>
      <c r="K19" s="74">
        <f t="shared" si="9"/>
        <v>2000</v>
      </c>
      <c r="L19" s="74">
        <f t="shared" si="9"/>
        <v>2000</v>
      </c>
      <c r="M19" s="74">
        <f t="shared" si="9"/>
        <v>2000</v>
      </c>
      <c r="N19" s="72">
        <f>SUM(B19:M19)</f>
        <v>24000</v>
      </c>
      <c r="P19" s="74"/>
    </row>
    <row r="20" spans="1:16" x14ac:dyDescent="0.2">
      <c r="A20" s="30" t="s">
        <v>58</v>
      </c>
      <c r="B20" s="74">
        <f>$E$2*0.6</f>
        <v>2400</v>
      </c>
      <c r="C20" s="74">
        <f t="shared" ref="C20:M20" si="10">$E$2*0.6</f>
        <v>2400</v>
      </c>
      <c r="D20" s="74">
        <f t="shared" si="10"/>
        <v>2400</v>
      </c>
      <c r="E20" s="74">
        <f t="shared" si="10"/>
        <v>2400</v>
      </c>
      <c r="F20" s="74">
        <f t="shared" si="10"/>
        <v>2400</v>
      </c>
      <c r="G20" s="74">
        <f t="shared" si="10"/>
        <v>2400</v>
      </c>
      <c r="H20" s="74">
        <f t="shared" si="10"/>
        <v>2400</v>
      </c>
      <c r="I20" s="74">
        <f t="shared" si="10"/>
        <v>2400</v>
      </c>
      <c r="J20" s="74">
        <f t="shared" si="10"/>
        <v>2400</v>
      </c>
      <c r="K20" s="74">
        <f t="shared" si="10"/>
        <v>2400</v>
      </c>
      <c r="L20" s="74">
        <f t="shared" si="10"/>
        <v>2400</v>
      </c>
      <c r="M20" s="74">
        <f t="shared" si="10"/>
        <v>2400</v>
      </c>
      <c r="N20" s="72">
        <f t="shared" ref="N20:N23" si="11">SUM(B20:M20)</f>
        <v>28800</v>
      </c>
    </row>
    <row r="21" spans="1:16" x14ac:dyDescent="0.2">
      <c r="A21" s="58" t="s">
        <v>59</v>
      </c>
      <c r="B21" s="78">
        <f>SUM(B19,B20)</f>
        <v>4400</v>
      </c>
      <c r="C21" s="78">
        <f t="shared" ref="C21:M21" si="12">SUM(C19,C20)</f>
        <v>4400</v>
      </c>
      <c r="D21" s="78">
        <f t="shared" si="12"/>
        <v>4400</v>
      </c>
      <c r="E21" s="78">
        <f t="shared" si="12"/>
        <v>4400</v>
      </c>
      <c r="F21" s="78">
        <f t="shared" si="12"/>
        <v>4400</v>
      </c>
      <c r="G21" s="78">
        <f t="shared" si="12"/>
        <v>4400</v>
      </c>
      <c r="H21" s="78">
        <f t="shared" si="12"/>
        <v>4400</v>
      </c>
      <c r="I21" s="78">
        <f t="shared" si="12"/>
        <v>4400</v>
      </c>
      <c r="J21" s="78">
        <f t="shared" si="12"/>
        <v>4400</v>
      </c>
      <c r="K21" s="78">
        <f t="shared" si="12"/>
        <v>4400</v>
      </c>
      <c r="L21" s="78">
        <f t="shared" si="12"/>
        <v>4400</v>
      </c>
      <c r="M21" s="78">
        <f t="shared" si="12"/>
        <v>4400</v>
      </c>
      <c r="N21" s="72">
        <f t="shared" si="11"/>
        <v>52800</v>
      </c>
    </row>
    <row r="22" spans="1:16" ht="16" thickBot="1" x14ac:dyDescent="0.25">
      <c r="A22" s="30" t="s">
        <v>60</v>
      </c>
      <c r="B22" s="79">
        <f>B8*$F$2</f>
        <v>0</v>
      </c>
      <c r="C22" s="79">
        <f t="shared" ref="C22:M22" si="13">C8*$F$2</f>
        <v>0</v>
      </c>
      <c r="D22" s="79">
        <f t="shared" si="13"/>
        <v>0</v>
      </c>
      <c r="E22" s="79">
        <f t="shared" si="13"/>
        <v>0</v>
      </c>
      <c r="F22" s="79">
        <f t="shared" si="13"/>
        <v>962.28453321671441</v>
      </c>
      <c r="G22" s="79">
        <f t="shared" si="13"/>
        <v>978.75847993060142</v>
      </c>
      <c r="H22" s="79">
        <f t="shared" si="13"/>
        <v>0</v>
      </c>
      <c r="I22" s="79">
        <f t="shared" si="13"/>
        <v>0</v>
      </c>
      <c r="J22" s="79">
        <f t="shared" si="13"/>
        <v>0</v>
      </c>
      <c r="K22" s="79">
        <f t="shared" si="13"/>
        <v>2672.3992052887161</v>
      </c>
      <c r="L22" s="79">
        <f t="shared" si="13"/>
        <v>3404.5766554081583</v>
      </c>
      <c r="M22" s="79">
        <f t="shared" si="13"/>
        <v>7987.4627149259213</v>
      </c>
      <c r="N22" s="72">
        <f t="shared" si="11"/>
        <v>16005.481588770112</v>
      </c>
    </row>
    <row r="23" spans="1:16" ht="16" thickTop="1" x14ac:dyDescent="0.2">
      <c r="A23" s="64" t="s">
        <v>61</v>
      </c>
      <c r="B23" s="75">
        <f>SUM(B16,B21,B22)</f>
        <v>10200</v>
      </c>
      <c r="C23" s="75">
        <f>SUM(C16,C21,C22)</f>
        <v>10200</v>
      </c>
      <c r="D23" s="75">
        <f t="shared" ref="D23:M23" si="14">SUM(D16,D21,D22)</f>
        <v>10200</v>
      </c>
      <c r="E23" s="75">
        <f t="shared" si="14"/>
        <v>10200</v>
      </c>
      <c r="F23" s="75">
        <f t="shared" si="14"/>
        <v>11162.284533216714</v>
      </c>
      <c r="G23" s="75">
        <f t="shared" si="14"/>
        <v>11178.758479930602</v>
      </c>
      <c r="H23" s="75">
        <f t="shared" si="14"/>
        <v>10200</v>
      </c>
      <c r="I23" s="75">
        <f t="shared" si="14"/>
        <v>10200</v>
      </c>
      <c r="J23" s="75">
        <f t="shared" si="14"/>
        <v>10200</v>
      </c>
      <c r="K23" s="75">
        <f t="shared" si="14"/>
        <v>12872.399205288715</v>
      </c>
      <c r="L23" s="75">
        <f t="shared" si="14"/>
        <v>13604.576655408158</v>
      </c>
      <c r="M23" s="75">
        <f t="shared" si="14"/>
        <v>18187.462714925921</v>
      </c>
      <c r="N23" s="72">
        <f t="shared" si="11"/>
        <v>138405.48158877011</v>
      </c>
    </row>
    <row r="24" spans="1:16" ht="16" thickBot="1" x14ac:dyDescent="0.25">
      <c r="A24" s="3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08"/>
    </row>
    <row r="25" spans="1:16" ht="17" thickTop="1" thickBot="1" x14ac:dyDescent="0.25">
      <c r="A25" s="66" t="s">
        <v>62</v>
      </c>
      <c r="B25" s="81">
        <f>B13-B23</f>
        <v>6862.885916500949</v>
      </c>
      <c r="C25" s="81">
        <f t="shared" ref="C25:M25" si="15">C13-C23</f>
        <v>8455.0204584779276</v>
      </c>
      <c r="D25" s="81">
        <f t="shared" si="15"/>
        <v>8892.9348755944047</v>
      </c>
      <c r="E25" s="81">
        <f t="shared" si="15"/>
        <v>10637.471801722204</v>
      </c>
      <c r="F25" s="81">
        <f t="shared" si="15"/>
        <v>10797.715466783286</v>
      </c>
      <c r="G25" s="81">
        <f t="shared" si="15"/>
        <v>10781.241520069398</v>
      </c>
      <c r="H25" s="81">
        <f t="shared" si="15"/>
        <v>6216.1240937332441</v>
      </c>
      <c r="I25" s="81">
        <f t="shared" si="15"/>
        <v>10131.523854556137</v>
      </c>
      <c r="J25" s="81">
        <f t="shared" si="15"/>
        <v>11171.038005352337</v>
      </c>
      <c r="K25" s="81">
        <f t="shared" si="15"/>
        <v>9087.6007947112848</v>
      </c>
      <c r="L25" s="81">
        <f t="shared" si="15"/>
        <v>8355.4233445918417</v>
      </c>
      <c r="M25" s="81">
        <f t="shared" si="15"/>
        <v>3772.5372850740787</v>
      </c>
      <c r="N25" s="73">
        <f>SUM(B25:M25)</f>
        <v>105161.51741716711</v>
      </c>
    </row>
    <row r="27" spans="1:16" x14ac:dyDescent="0.2">
      <c r="A27" s="56"/>
      <c r="B27" s="44" t="s">
        <v>97</v>
      </c>
      <c r="C27" s="44"/>
      <c r="D27" s="44"/>
      <c r="E27" s="44"/>
      <c r="F27" s="44"/>
      <c r="G27" s="44"/>
    </row>
    <row r="28" spans="1:16" ht="16" thickBot="1" x14ac:dyDescent="0.25">
      <c r="A28" s="28" t="s">
        <v>63</v>
      </c>
    </row>
    <row r="29" spans="1:16" x14ac:dyDescent="0.2">
      <c r="A29" s="62" t="s">
        <v>7</v>
      </c>
      <c r="B29" s="60">
        <f>B4</f>
        <v>44927</v>
      </c>
      <c r="C29" s="60">
        <f t="shared" ref="C29:M29" si="16">C4</f>
        <v>44958</v>
      </c>
      <c r="D29" s="60">
        <f t="shared" si="16"/>
        <v>44986</v>
      </c>
      <c r="E29" s="60">
        <f t="shared" si="16"/>
        <v>45017</v>
      </c>
      <c r="F29" s="60">
        <f t="shared" si="16"/>
        <v>45047</v>
      </c>
      <c r="G29" s="60">
        <f t="shared" si="16"/>
        <v>45078</v>
      </c>
      <c r="H29" s="60">
        <f t="shared" si="16"/>
        <v>45108</v>
      </c>
      <c r="I29" s="60">
        <f t="shared" si="16"/>
        <v>45139</v>
      </c>
      <c r="J29" s="60">
        <f t="shared" si="16"/>
        <v>45170</v>
      </c>
      <c r="K29" s="60">
        <f t="shared" si="16"/>
        <v>45200</v>
      </c>
      <c r="L29" s="60">
        <f t="shared" si="16"/>
        <v>45231</v>
      </c>
      <c r="M29" s="60">
        <f t="shared" si="16"/>
        <v>45261</v>
      </c>
      <c r="N29" s="70" t="s">
        <v>96</v>
      </c>
    </row>
    <row r="30" spans="1:16" x14ac:dyDescent="0.2">
      <c r="A30" s="30" t="s">
        <v>38</v>
      </c>
      <c r="B30" s="74">
        <f>B5*1.22</f>
        <v>3470.9247212573482</v>
      </c>
      <c r="C30" s="74">
        <f t="shared" ref="C30:M30" si="17">C5*1.22</f>
        <v>3929.0389055054407</v>
      </c>
      <c r="D30" s="74">
        <f t="shared" si="17"/>
        <v>4055.0425821285785</v>
      </c>
      <c r="E30" s="74">
        <f t="shared" si="17"/>
        <v>4557.0083957785582</v>
      </c>
      <c r="F30" s="74">
        <f t="shared" si="17"/>
        <v>5271.3290435081308</v>
      </c>
      <c r="G30" s="74">
        <f t="shared" si="17"/>
        <v>5278.0284485051116</v>
      </c>
      <c r="H30" s="74">
        <f>H5*1.22</f>
        <v>3284.8281590458864</v>
      </c>
      <c r="I30" s="74">
        <f t="shared" si="17"/>
        <v>4411.4290336222839</v>
      </c>
      <c r="J30" s="74">
        <f t="shared" si="17"/>
        <v>4710.534520407984</v>
      </c>
      <c r="K30" s="74">
        <f t="shared" si="17"/>
        <v>5966.7756768174113</v>
      </c>
      <c r="L30" s="74">
        <f t="shared" si="17"/>
        <v>6264.5278398659839</v>
      </c>
      <c r="M30" s="74">
        <f t="shared" si="17"/>
        <v>8128.2348374032081</v>
      </c>
      <c r="N30" s="71">
        <f>SUM(B30:M30)</f>
        <v>59327.702163845934</v>
      </c>
    </row>
    <row r="31" spans="1:16" x14ac:dyDescent="0.2">
      <c r="A31" s="30" t="s">
        <v>45</v>
      </c>
      <c r="B31" s="74">
        <f>MIN(B30,$E$2)</f>
        <v>3470.9247212573482</v>
      </c>
      <c r="C31" s="74">
        <f t="shared" ref="C31" si="18">MIN(C30,$E$2)</f>
        <v>3929.0389055054407</v>
      </c>
      <c r="D31" s="74">
        <f>MIN(D30,$E$2)</f>
        <v>4000</v>
      </c>
      <c r="E31" s="74">
        <f t="shared" ref="E31" si="19">MIN(E30,$E$2)</f>
        <v>4000</v>
      </c>
      <c r="F31" s="74">
        <f t="shared" ref="F31" si="20">MIN(F30,$E$2)</f>
        <v>4000</v>
      </c>
      <c r="G31" s="74">
        <f t="shared" ref="G31" si="21">MIN(G30,$E$2)</f>
        <v>4000</v>
      </c>
      <c r="H31" s="74">
        <f t="shared" ref="H31" si="22">MIN(H30,$E$2)</f>
        <v>3284.8281590458864</v>
      </c>
      <c r="I31" s="74">
        <f t="shared" ref="I31" si="23">MIN(I30,$E$2)</f>
        <v>4000</v>
      </c>
      <c r="J31" s="74">
        <f t="shared" ref="J31" si="24">MIN(J30,$E$2)</f>
        <v>4000</v>
      </c>
      <c r="K31" s="74">
        <f t="shared" ref="K31" si="25">MIN(K30,$E$2)</f>
        <v>4000</v>
      </c>
      <c r="L31" s="74">
        <f t="shared" ref="L31" si="26">MIN(L30,$E$2)</f>
        <v>4000</v>
      </c>
      <c r="M31" s="74">
        <f t="shared" ref="M31" si="27">MIN(M30,$E$2)</f>
        <v>4000</v>
      </c>
      <c r="N31" s="71">
        <f>SUM(B31:M31)</f>
        <v>46684.791785808673</v>
      </c>
    </row>
    <row r="32" spans="1:16" x14ac:dyDescent="0.2">
      <c r="A32" s="30" t="s">
        <v>46</v>
      </c>
      <c r="B32" s="74">
        <f>IF($E$2&gt;B30, $E$2-B30, 0)</f>
        <v>529.07527874265179</v>
      </c>
      <c r="C32" s="74">
        <f t="shared" ref="C32:M32" si="28">IF($E$2&gt;C30, $E$2-C30, 0)</f>
        <v>70.961094494559347</v>
      </c>
      <c r="D32" s="74">
        <f t="shared" si="28"/>
        <v>0</v>
      </c>
      <c r="E32" s="74">
        <f t="shared" si="28"/>
        <v>0</v>
      </c>
      <c r="F32" s="74">
        <f t="shared" si="28"/>
        <v>0</v>
      </c>
      <c r="G32" s="74">
        <f t="shared" si="28"/>
        <v>0</v>
      </c>
      <c r="H32" s="74">
        <f t="shared" si="28"/>
        <v>715.17184095411358</v>
      </c>
      <c r="I32" s="74">
        <f t="shared" si="28"/>
        <v>0</v>
      </c>
      <c r="J32" s="74">
        <f t="shared" si="28"/>
        <v>0</v>
      </c>
      <c r="K32" s="74">
        <f t="shared" si="28"/>
        <v>0</v>
      </c>
      <c r="L32" s="74">
        <f t="shared" si="28"/>
        <v>0</v>
      </c>
      <c r="M32" s="74">
        <f t="shared" si="28"/>
        <v>0</v>
      </c>
      <c r="N32" s="71">
        <f t="shared" ref="N32:N33" si="29">SUM(B32:M32)</f>
        <v>1315.2082141913247</v>
      </c>
    </row>
    <row r="33" spans="1:14" x14ac:dyDescent="0.2">
      <c r="A33" s="31" t="s">
        <v>47</v>
      </c>
      <c r="B33" s="75">
        <f>IF(B30&gt;$E$2, B30-$E$2, 0)</f>
        <v>0</v>
      </c>
      <c r="C33" s="75">
        <f t="shared" ref="C33:M33" si="30">IF(C30&gt;$E$2, C30-$E$2, 0)</f>
        <v>0</v>
      </c>
      <c r="D33" s="75">
        <f t="shared" si="30"/>
        <v>55.042582128578488</v>
      </c>
      <c r="E33" s="75">
        <f t="shared" si="30"/>
        <v>557.00839577855822</v>
      </c>
      <c r="F33" s="75">
        <f t="shared" si="30"/>
        <v>1271.3290435081308</v>
      </c>
      <c r="G33" s="75">
        <f t="shared" si="30"/>
        <v>1278.0284485051116</v>
      </c>
      <c r="H33" s="75">
        <f t="shared" si="30"/>
        <v>0</v>
      </c>
      <c r="I33" s="75">
        <f t="shared" si="30"/>
        <v>411.4290336222839</v>
      </c>
      <c r="J33" s="75">
        <f t="shared" si="30"/>
        <v>710.53452040798402</v>
      </c>
      <c r="K33" s="75">
        <f t="shared" si="30"/>
        <v>1966.7756768174113</v>
      </c>
      <c r="L33" s="75">
        <f t="shared" si="30"/>
        <v>2264.5278398659839</v>
      </c>
      <c r="M33" s="75">
        <f t="shared" si="30"/>
        <v>4128.2348374032081</v>
      </c>
      <c r="N33" s="71">
        <f t="shared" si="29"/>
        <v>12642.91037803725</v>
      </c>
    </row>
    <row r="34" spans="1:14" x14ac:dyDescent="0.2">
      <c r="A34" s="63" t="s">
        <v>48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1"/>
    </row>
    <row r="35" spans="1:14" x14ac:dyDescent="0.2">
      <c r="A35" s="30" t="s">
        <v>49</v>
      </c>
      <c r="B35" s="74">
        <f>B31*2.99</f>
        <v>10378.064916559471</v>
      </c>
      <c r="C35" s="74">
        <f>C31*2.99</f>
        <v>11747.826327461269</v>
      </c>
      <c r="D35" s="74">
        <f t="shared" ref="D35:M35" si="31">D31*2.99</f>
        <v>11960</v>
      </c>
      <c r="E35" s="74">
        <f t="shared" si="31"/>
        <v>11960</v>
      </c>
      <c r="F35" s="74">
        <f t="shared" si="31"/>
        <v>11960</v>
      </c>
      <c r="G35" s="74">
        <f t="shared" si="31"/>
        <v>11960</v>
      </c>
      <c r="H35" s="74">
        <f t="shared" si="31"/>
        <v>9821.6361955472003</v>
      </c>
      <c r="I35" s="74">
        <f t="shared" si="31"/>
        <v>11960</v>
      </c>
      <c r="J35" s="74">
        <f t="shared" si="31"/>
        <v>11960</v>
      </c>
      <c r="K35" s="74">
        <f t="shared" si="31"/>
        <v>11960</v>
      </c>
      <c r="L35" s="74">
        <f t="shared" si="31"/>
        <v>11960</v>
      </c>
      <c r="M35" s="74">
        <f t="shared" si="31"/>
        <v>11960</v>
      </c>
      <c r="N35" s="72">
        <f>SUM(B35:M35)</f>
        <v>139587.52743956796</v>
      </c>
    </row>
    <row r="36" spans="1:14" x14ac:dyDescent="0.2">
      <c r="A36" s="30" t="s">
        <v>50</v>
      </c>
      <c r="B36" s="74">
        <f>B31*2.5</f>
        <v>8677.3118031433696</v>
      </c>
      <c r="C36" s="74">
        <f t="shared" ref="C36:M36" si="32">C31*2.5</f>
        <v>9822.5972637636023</v>
      </c>
      <c r="D36" s="74">
        <f t="shared" si="32"/>
        <v>10000</v>
      </c>
      <c r="E36" s="74">
        <f t="shared" si="32"/>
        <v>10000</v>
      </c>
      <c r="F36" s="74">
        <f t="shared" si="32"/>
        <v>10000</v>
      </c>
      <c r="G36" s="74">
        <f t="shared" si="32"/>
        <v>10000</v>
      </c>
      <c r="H36" s="74">
        <f t="shared" si="32"/>
        <v>8212.0703976147161</v>
      </c>
      <c r="I36" s="74">
        <f t="shared" si="32"/>
        <v>10000</v>
      </c>
      <c r="J36" s="74">
        <f t="shared" si="32"/>
        <v>10000</v>
      </c>
      <c r="K36" s="74">
        <f t="shared" si="32"/>
        <v>10000</v>
      </c>
      <c r="L36" s="74">
        <f t="shared" si="32"/>
        <v>10000</v>
      </c>
      <c r="M36" s="74">
        <f t="shared" si="32"/>
        <v>10000</v>
      </c>
      <c r="N36" s="72">
        <f t="shared" ref="N36:N38" si="33">SUM(B36:M36)</f>
        <v>116711.97946452169</v>
      </c>
    </row>
    <row r="37" spans="1:14" ht="16" thickBot="1" x14ac:dyDescent="0.25">
      <c r="A37" s="30" t="s">
        <v>51</v>
      </c>
      <c r="B37" s="77">
        <f>B32*$G$2</f>
        <v>661.34409842831474</v>
      </c>
      <c r="C37" s="77">
        <f t="shared" ref="C37:M37" si="34">C32*$G$2</f>
        <v>88.701368118199184</v>
      </c>
      <c r="D37" s="77">
        <f t="shared" si="34"/>
        <v>0</v>
      </c>
      <c r="E37" s="77">
        <f t="shared" si="34"/>
        <v>0</v>
      </c>
      <c r="F37" s="77">
        <f t="shared" si="34"/>
        <v>0</v>
      </c>
      <c r="G37" s="77">
        <f t="shared" si="34"/>
        <v>0</v>
      </c>
      <c r="H37" s="77">
        <f t="shared" si="34"/>
        <v>893.96480119264197</v>
      </c>
      <c r="I37" s="77">
        <f t="shared" si="34"/>
        <v>0</v>
      </c>
      <c r="J37" s="77">
        <f t="shared" si="34"/>
        <v>0</v>
      </c>
      <c r="K37" s="77">
        <f t="shared" si="34"/>
        <v>0</v>
      </c>
      <c r="L37" s="77">
        <f t="shared" si="34"/>
        <v>0</v>
      </c>
      <c r="M37" s="77">
        <f t="shared" si="34"/>
        <v>0</v>
      </c>
      <c r="N37" s="72">
        <f t="shared" si="33"/>
        <v>1644.010267739156</v>
      </c>
    </row>
    <row r="38" spans="1:14" ht="16" thickTop="1" x14ac:dyDescent="0.2">
      <c r="A38" s="64" t="s">
        <v>52</v>
      </c>
      <c r="B38" s="75">
        <f>SUM(B35:B37)</f>
        <v>19716.720818131158</v>
      </c>
      <c r="C38" s="75">
        <f t="shared" ref="C38" si="35">SUM(C35:C37)</f>
        <v>21659.124959343069</v>
      </c>
      <c r="D38" s="75">
        <f t="shared" ref="D38" si="36">SUM(D35:D37)</f>
        <v>21960</v>
      </c>
      <c r="E38" s="75">
        <f t="shared" ref="E38" si="37">SUM(E35:E37)</f>
        <v>21960</v>
      </c>
      <c r="F38" s="75">
        <f t="shared" ref="F38" si="38">SUM(F35:F37)</f>
        <v>21960</v>
      </c>
      <c r="G38" s="75">
        <f t="shared" ref="G38" si="39">SUM(G35:G37)</f>
        <v>21960</v>
      </c>
      <c r="H38" s="75">
        <f t="shared" ref="H38" si="40">SUM(H35:H37)</f>
        <v>18927.671394354555</v>
      </c>
      <c r="I38" s="75">
        <f t="shared" ref="I38" si="41">SUM(I35:I37)</f>
        <v>21960</v>
      </c>
      <c r="J38" s="75">
        <f t="shared" ref="J38" si="42">SUM(J35:J37)</f>
        <v>21960</v>
      </c>
      <c r="K38" s="75">
        <f t="shared" ref="K38" si="43">SUM(K35:K37)</f>
        <v>21960</v>
      </c>
      <c r="L38" s="75">
        <f t="shared" ref="L38" si="44">SUM(L35:L37)</f>
        <v>21960</v>
      </c>
      <c r="M38" s="75">
        <f t="shared" ref="M38" si="45">SUM(M35:M37)</f>
        <v>21960</v>
      </c>
      <c r="N38" s="72">
        <f t="shared" si="33"/>
        <v>257943.51717182877</v>
      </c>
    </row>
    <row r="39" spans="1:14" x14ac:dyDescent="0.2">
      <c r="A39" s="65" t="s">
        <v>53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1"/>
    </row>
    <row r="40" spans="1:14" x14ac:dyDescent="0.2">
      <c r="A40" s="30" t="s">
        <v>54</v>
      </c>
      <c r="B40" s="74">
        <v>5800</v>
      </c>
      <c r="C40" s="74">
        <v>5800</v>
      </c>
      <c r="D40" s="74">
        <v>5800</v>
      </c>
      <c r="E40" s="74">
        <v>5800</v>
      </c>
      <c r="F40" s="74">
        <v>5800</v>
      </c>
      <c r="G40" s="74">
        <v>5800</v>
      </c>
      <c r="H40" s="74">
        <v>5800</v>
      </c>
      <c r="I40" s="74">
        <v>5800</v>
      </c>
      <c r="J40" s="74">
        <v>5800</v>
      </c>
      <c r="K40" s="74">
        <v>5800</v>
      </c>
      <c r="L40" s="74">
        <v>5800</v>
      </c>
      <c r="M40" s="74">
        <v>5800</v>
      </c>
      <c r="N40" s="72">
        <f>SUM(B40:M40)</f>
        <v>69600</v>
      </c>
    </row>
    <row r="41" spans="1:14" x14ac:dyDescent="0.2">
      <c r="A41" s="58" t="s">
        <v>55</v>
      </c>
      <c r="B41" s="74">
        <v>5800</v>
      </c>
      <c r="C41" s="74">
        <v>5800</v>
      </c>
      <c r="D41" s="74">
        <v>5800</v>
      </c>
      <c r="E41" s="74">
        <v>5800</v>
      </c>
      <c r="F41" s="74">
        <v>5800</v>
      </c>
      <c r="G41" s="74">
        <v>5800</v>
      </c>
      <c r="H41" s="74">
        <v>5800</v>
      </c>
      <c r="I41" s="74">
        <v>5800</v>
      </c>
      <c r="J41" s="74">
        <v>5800</v>
      </c>
      <c r="K41" s="74">
        <v>5800</v>
      </c>
      <c r="L41" s="74">
        <v>5800</v>
      </c>
      <c r="M41" s="74">
        <v>5800</v>
      </c>
      <c r="N41" s="72">
        <f>SUM(B41:M41)</f>
        <v>69600</v>
      </c>
    </row>
    <row r="42" spans="1:14" x14ac:dyDescent="0.2">
      <c r="A42" s="3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2"/>
    </row>
    <row r="43" spans="1:14" x14ac:dyDescent="0.2">
      <c r="A43" s="30" t="s">
        <v>56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2"/>
    </row>
    <row r="44" spans="1:14" x14ac:dyDescent="0.2">
      <c r="A44" s="30" t="s">
        <v>57</v>
      </c>
      <c r="B44" s="74">
        <f>$E$2*0.5</f>
        <v>2000</v>
      </c>
      <c r="C44" s="74">
        <f t="shared" ref="C44:M44" si="46">$E$2*0.5</f>
        <v>2000</v>
      </c>
      <c r="D44" s="74">
        <f t="shared" si="46"/>
        <v>2000</v>
      </c>
      <c r="E44" s="74">
        <f t="shared" si="46"/>
        <v>2000</v>
      </c>
      <c r="F44" s="74">
        <f t="shared" si="46"/>
        <v>2000</v>
      </c>
      <c r="G44" s="74">
        <f t="shared" si="46"/>
        <v>2000</v>
      </c>
      <c r="H44" s="74">
        <f t="shared" si="46"/>
        <v>2000</v>
      </c>
      <c r="I44" s="74">
        <f t="shared" si="46"/>
        <v>2000</v>
      </c>
      <c r="J44" s="74">
        <f t="shared" si="46"/>
        <v>2000</v>
      </c>
      <c r="K44" s="74">
        <f t="shared" si="46"/>
        <v>2000</v>
      </c>
      <c r="L44" s="74">
        <f t="shared" si="46"/>
        <v>2000</v>
      </c>
      <c r="M44" s="74">
        <f t="shared" si="46"/>
        <v>2000</v>
      </c>
      <c r="N44" s="72">
        <f>SUM(B44:M44)</f>
        <v>24000</v>
      </c>
    </row>
    <row r="45" spans="1:14" x14ac:dyDescent="0.2">
      <c r="A45" s="30" t="s">
        <v>58</v>
      </c>
      <c r="B45" s="74">
        <f>$E$2*0.6</f>
        <v>2400</v>
      </c>
      <c r="C45" s="74">
        <f t="shared" ref="C45:M45" si="47">$E$2*0.6</f>
        <v>2400</v>
      </c>
      <c r="D45" s="74">
        <f t="shared" si="47"/>
        <v>2400</v>
      </c>
      <c r="E45" s="74">
        <f t="shared" si="47"/>
        <v>2400</v>
      </c>
      <c r="F45" s="74">
        <f t="shared" si="47"/>
        <v>2400</v>
      </c>
      <c r="G45" s="74">
        <f t="shared" si="47"/>
        <v>2400</v>
      </c>
      <c r="H45" s="74">
        <f t="shared" si="47"/>
        <v>2400</v>
      </c>
      <c r="I45" s="74">
        <f t="shared" si="47"/>
        <v>2400</v>
      </c>
      <c r="J45" s="74">
        <f t="shared" si="47"/>
        <v>2400</v>
      </c>
      <c r="K45" s="74">
        <f t="shared" si="47"/>
        <v>2400</v>
      </c>
      <c r="L45" s="74">
        <f t="shared" si="47"/>
        <v>2400</v>
      </c>
      <c r="M45" s="74">
        <f t="shared" si="47"/>
        <v>2400</v>
      </c>
      <c r="N45" s="72">
        <f t="shared" ref="N45:N48" si="48">SUM(B45:M45)</f>
        <v>28800</v>
      </c>
    </row>
    <row r="46" spans="1:14" x14ac:dyDescent="0.2">
      <c r="A46" s="58" t="s">
        <v>59</v>
      </c>
      <c r="B46" s="78">
        <f>SUM(B44,B45)</f>
        <v>4400</v>
      </c>
      <c r="C46" s="78">
        <f t="shared" ref="C46" si="49">SUM(C44,C45)</f>
        <v>4400</v>
      </c>
      <c r="D46" s="78">
        <f t="shared" ref="D46" si="50">SUM(D44,D45)</f>
        <v>4400</v>
      </c>
      <c r="E46" s="78">
        <f t="shared" ref="E46" si="51">SUM(E44,E45)</f>
        <v>4400</v>
      </c>
      <c r="F46" s="78">
        <f t="shared" ref="F46" si="52">SUM(F44,F45)</f>
        <v>4400</v>
      </c>
      <c r="G46" s="78">
        <f t="shared" ref="G46" si="53">SUM(G44,G45)</f>
        <v>4400</v>
      </c>
      <c r="H46" s="78">
        <f t="shared" ref="H46" si="54">SUM(H44,H45)</f>
        <v>4400</v>
      </c>
      <c r="I46" s="78">
        <f t="shared" ref="I46" si="55">SUM(I44,I45)</f>
        <v>4400</v>
      </c>
      <c r="J46" s="78">
        <f t="shared" ref="J46" si="56">SUM(J44,J45)</f>
        <v>4400</v>
      </c>
      <c r="K46" s="78">
        <f t="shared" ref="K46" si="57">SUM(K44,K45)</f>
        <v>4400</v>
      </c>
      <c r="L46" s="78">
        <f t="shared" ref="L46" si="58">SUM(L44,L45)</f>
        <v>4400</v>
      </c>
      <c r="M46" s="78">
        <f t="shared" ref="M46" si="59">SUM(M44,M45)</f>
        <v>4400</v>
      </c>
      <c r="N46" s="72">
        <f t="shared" si="48"/>
        <v>52800</v>
      </c>
    </row>
    <row r="47" spans="1:14" ht="16" thickBot="1" x14ac:dyDescent="0.25">
      <c r="A47" s="30" t="s">
        <v>60</v>
      </c>
      <c r="B47" s="79">
        <f>B33*$F$2</f>
        <v>0</v>
      </c>
      <c r="C47" s="79">
        <f t="shared" ref="C47:M47" si="60">C33*$F$2</f>
        <v>0</v>
      </c>
      <c r="D47" s="79">
        <f t="shared" si="60"/>
        <v>165.12774638573546</v>
      </c>
      <c r="E47" s="79">
        <f t="shared" si="60"/>
        <v>1671.0251873356747</v>
      </c>
      <c r="F47" s="79">
        <f t="shared" si="60"/>
        <v>3813.9871305243923</v>
      </c>
      <c r="G47" s="79">
        <f t="shared" si="60"/>
        <v>3834.0853455153347</v>
      </c>
      <c r="H47" s="79">
        <f t="shared" si="60"/>
        <v>0</v>
      </c>
      <c r="I47" s="79">
        <f t="shared" si="60"/>
        <v>1234.2871008668517</v>
      </c>
      <c r="J47" s="79">
        <f t="shared" si="60"/>
        <v>2131.6035612239521</v>
      </c>
      <c r="K47" s="79">
        <f t="shared" si="60"/>
        <v>5900.3270304522339</v>
      </c>
      <c r="L47" s="79">
        <f t="shared" si="60"/>
        <v>6793.5835195979516</v>
      </c>
      <c r="M47" s="79">
        <f t="shared" si="60"/>
        <v>12384.704512209624</v>
      </c>
      <c r="N47" s="72">
        <f>SUM(B47:M47)</f>
        <v>37928.731134111753</v>
      </c>
    </row>
    <row r="48" spans="1:14" ht="16" thickTop="1" x14ac:dyDescent="0.2">
      <c r="A48" s="64" t="s">
        <v>61</v>
      </c>
      <c r="B48" s="75">
        <f>SUM(B41,B46,B47)</f>
        <v>10200</v>
      </c>
      <c r="C48" s="75">
        <f>SUM(C41,C46,C47)</f>
        <v>10200</v>
      </c>
      <c r="D48" s="75">
        <f t="shared" ref="D48" si="61">SUM(D41,D46,D47)</f>
        <v>10365.127746385735</v>
      </c>
      <c r="E48" s="75">
        <f t="shared" ref="E48" si="62">SUM(E41,E46,E47)</f>
        <v>11871.025187335676</v>
      </c>
      <c r="F48" s="75">
        <f t="shared" ref="F48" si="63">SUM(F41,F46,F47)</f>
        <v>14013.987130524392</v>
      </c>
      <c r="G48" s="75">
        <f t="shared" ref="G48" si="64">SUM(G41,G46,G47)</f>
        <v>14034.085345515334</v>
      </c>
      <c r="H48" s="75">
        <f t="shared" ref="H48" si="65">SUM(H41,H46,H47)</f>
        <v>10200</v>
      </c>
      <c r="I48" s="75">
        <f t="shared" ref="I48" si="66">SUM(I41,I46,I47)</f>
        <v>11434.287100866852</v>
      </c>
      <c r="J48" s="75">
        <f t="shared" ref="J48" si="67">SUM(J41,J46,J47)</f>
        <v>12331.603561223952</v>
      </c>
      <c r="K48" s="75">
        <f t="shared" ref="K48" si="68">SUM(K41,K46,K47)</f>
        <v>16100.327030452234</v>
      </c>
      <c r="L48" s="75">
        <f t="shared" ref="L48" si="69">SUM(L41,L46,L47)</f>
        <v>16993.583519597953</v>
      </c>
      <c r="M48" s="75">
        <f t="shared" ref="M48" si="70">SUM(M41,M46,M47)</f>
        <v>22584.704512209624</v>
      </c>
      <c r="N48" s="72">
        <f t="shared" si="48"/>
        <v>160328.73113411173</v>
      </c>
    </row>
    <row r="49" spans="1:14" ht="16" thickBot="1" x14ac:dyDescent="0.25">
      <c r="A49" s="3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108"/>
    </row>
    <row r="50" spans="1:14" ht="17" thickTop="1" thickBot="1" x14ac:dyDescent="0.25">
      <c r="A50" s="66" t="s">
        <v>62</v>
      </c>
      <c r="B50" s="81">
        <f>B38-B48</f>
        <v>9516.720818131158</v>
      </c>
      <c r="C50" s="81">
        <f t="shared" ref="C50:M50" si="71">C38-C48</f>
        <v>11459.124959343069</v>
      </c>
      <c r="D50" s="81">
        <f t="shared" si="71"/>
        <v>11594.872253614265</v>
      </c>
      <c r="E50" s="81">
        <f t="shared" si="71"/>
        <v>10088.974812664324</v>
      </c>
      <c r="F50" s="81">
        <f t="shared" si="71"/>
        <v>7946.0128694756077</v>
      </c>
      <c r="G50" s="81">
        <f t="shared" si="71"/>
        <v>7925.9146544846662</v>
      </c>
      <c r="H50" s="81">
        <f t="shared" si="71"/>
        <v>8727.6713943545546</v>
      </c>
      <c r="I50" s="81">
        <f t="shared" si="71"/>
        <v>10525.712899133148</v>
      </c>
      <c r="J50" s="81">
        <f t="shared" si="71"/>
        <v>9628.3964387760479</v>
      </c>
      <c r="K50" s="81">
        <f t="shared" si="71"/>
        <v>5859.6729695477661</v>
      </c>
      <c r="L50" s="81">
        <f t="shared" si="71"/>
        <v>4966.4164804020475</v>
      </c>
      <c r="M50" s="81">
        <f t="shared" si="71"/>
        <v>-624.70451220962423</v>
      </c>
      <c r="N50" s="73">
        <f>SUM(B50:M50)</f>
        <v>97614.786037717044</v>
      </c>
    </row>
    <row r="52" spans="1:14" x14ac:dyDescent="0.2">
      <c r="A52" s="56"/>
    </row>
    <row r="53" spans="1:14" ht="16" thickBot="1" x14ac:dyDescent="0.25">
      <c r="A53" s="28" t="s">
        <v>64</v>
      </c>
      <c r="M53" s="61"/>
    </row>
    <row r="54" spans="1:14" x14ac:dyDescent="0.2">
      <c r="A54" s="62" t="s">
        <v>7</v>
      </c>
      <c r="B54" s="60">
        <f>B29</f>
        <v>44927</v>
      </c>
      <c r="C54" s="60">
        <f t="shared" ref="C54:M54" si="72">C29</f>
        <v>44958</v>
      </c>
      <c r="D54" s="60">
        <f t="shared" si="72"/>
        <v>44986</v>
      </c>
      <c r="E54" s="60">
        <f t="shared" si="72"/>
        <v>45017</v>
      </c>
      <c r="F54" s="60">
        <f t="shared" si="72"/>
        <v>45047</v>
      </c>
      <c r="G54" s="60">
        <f t="shared" si="72"/>
        <v>45078</v>
      </c>
      <c r="H54" s="60">
        <f t="shared" si="72"/>
        <v>45108</v>
      </c>
      <c r="I54" s="60">
        <f t="shared" si="72"/>
        <v>45139</v>
      </c>
      <c r="J54" s="60">
        <f t="shared" si="72"/>
        <v>45170</v>
      </c>
      <c r="K54" s="60">
        <f t="shared" si="72"/>
        <v>45200</v>
      </c>
      <c r="L54" s="60">
        <f t="shared" si="72"/>
        <v>45231</v>
      </c>
      <c r="M54" s="60">
        <f t="shared" si="72"/>
        <v>45261</v>
      </c>
      <c r="N54" s="70" t="s">
        <v>96</v>
      </c>
    </row>
    <row r="55" spans="1:14" x14ac:dyDescent="0.2">
      <c r="A55" s="30" t="s">
        <v>38</v>
      </c>
      <c r="B55" s="74">
        <f>B5*0.74</f>
        <v>2105.3149948610144</v>
      </c>
      <c r="C55" s="74">
        <f t="shared" ref="C55:M55" si="73">C5*0.74</f>
        <v>2383.1875328475626</v>
      </c>
      <c r="D55" s="74">
        <f t="shared" si="73"/>
        <v>2459.6159924386461</v>
      </c>
      <c r="E55" s="74">
        <f t="shared" si="73"/>
        <v>2764.0870597345356</v>
      </c>
      <c r="F55" s="74">
        <f t="shared" si="73"/>
        <v>3197.363518193456</v>
      </c>
      <c r="G55" s="74">
        <f t="shared" si="73"/>
        <v>3201.4270917162148</v>
      </c>
      <c r="H55" s="74">
        <f t="shared" si="73"/>
        <v>1992.4367522081607</v>
      </c>
      <c r="I55" s="74">
        <f t="shared" si="73"/>
        <v>2675.7848236725331</v>
      </c>
      <c r="J55" s="74">
        <f t="shared" si="73"/>
        <v>2857.209463198285</v>
      </c>
      <c r="K55" s="74">
        <f t="shared" si="73"/>
        <v>3619.1918039712168</v>
      </c>
      <c r="L55" s="74">
        <f t="shared" si="73"/>
        <v>3799.795575000679</v>
      </c>
      <c r="M55" s="74">
        <f t="shared" si="73"/>
        <v>4930.2408030150609</v>
      </c>
      <c r="N55" s="71">
        <f>SUM(B55:M55)</f>
        <v>35985.655410857362</v>
      </c>
    </row>
    <row r="56" spans="1:14" x14ac:dyDescent="0.2">
      <c r="A56" s="30" t="s">
        <v>45</v>
      </c>
      <c r="B56" s="74">
        <f>MIN(B55,$E$2)</f>
        <v>2105.3149948610144</v>
      </c>
      <c r="C56" s="74">
        <f t="shared" ref="C56" si="74">MIN(C55,$E$2)</f>
        <v>2383.1875328475626</v>
      </c>
      <c r="D56" s="74">
        <f>MIN(D55,$E$2)</f>
        <v>2459.6159924386461</v>
      </c>
      <c r="E56" s="74">
        <f t="shared" ref="E56" si="75">MIN(E55,$E$2)</f>
        <v>2764.0870597345356</v>
      </c>
      <c r="F56" s="74">
        <f t="shared" ref="F56" si="76">MIN(F55,$E$2)</f>
        <v>3197.363518193456</v>
      </c>
      <c r="G56" s="74">
        <f t="shared" ref="G56" si="77">MIN(G55,$E$2)</f>
        <v>3201.4270917162148</v>
      </c>
      <c r="H56" s="74">
        <f t="shared" ref="H56" si="78">MIN(H55,$E$2)</f>
        <v>1992.4367522081607</v>
      </c>
      <c r="I56" s="74">
        <f t="shared" ref="I56" si="79">MIN(I55,$E$2)</f>
        <v>2675.7848236725331</v>
      </c>
      <c r="J56" s="74">
        <f t="shared" ref="J56" si="80">MIN(J55,$E$2)</f>
        <v>2857.209463198285</v>
      </c>
      <c r="K56" s="74">
        <f t="shared" ref="K56" si="81">MIN(K55,$E$2)</f>
        <v>3619.1918039712168</v>
      </c>
      <c r="L56" s="74">
        <f t="shared" ref="L56" si="82">MIN(L55,$E$2)</f>
        <v>3799.795575000679</v>
      </c>
      <c r="M56" s="74">
        <f t="shared" ref="M56" si="83">MIN(M55,$E$2)</f>
        <v>4000</v>
      </c>
      <c r="N56" s="71">
        <f>SUM(B56:M56)</f>
        <v>35055.414607842307</v>
      </c>
    </row>
    <row r="57" spans="1:14" x14ac:dyDescent="0.2">
      <c r="A57" s="30" t="s">
        <v>46</v>
      </c>
      <c r="B57" s="74">
        <f>IF($E$2&gt;B55, $E$2-B55, 0)</f>
        <v>1894.6850051389856</v>
      </c>
      <c r="C57" s="74">
        <f t="shared" ref="C57:M57" si="84">IF($E$2&gt;C55, $E$2-C55, 0)</f>
        <v>1616.8124671524374</v>
      </c>
      <c r="D57" s="74">
        <f t="shared" si="84"/>
        <v>1540.3840075613539</v>
      </c>
      <c r="E57" s="74">
        <f t="shared" si="84"/>
        <v>1235.9129402654644</v>
      </c>
      <c r="F57" s="74">
        <f t="shared" si="84"/>
        <v>802.636481806544</v>
      </c>
      <c r="G57" s="74">
        <f t="shared" si="84"/>
        <v>798.57290828378518</v>
      </c>
      <c r="H57" s="74">
        <f t="shared" si="84"/>
        <v>2007.5632477918393</v>
      </c>
      <c r="I57" s="74">
        <f t="shared" si="84"/>
        <v>1324.2151763274669</v>
      </c>
      <c r="J57" s="74">
        <f t="shared" si="84"/>
        <v>1142.790536801715</v>
      </c>
      <c r="K57" s="74">
        <f t="shared" si="84"/>
        <v>380.80819602878319</v>
      </c>
      <c r="L57" s="74">
        <f t="shared" si="84"/>
        <v>200.20442499932096</v>
      </c>
      <c r="M57" s="74">
        <f t="shared" si="84"/>
        <v>0</v>
      </c>
      <c r="N57" s="71">
        <f t="shared" ref="N57:N58" si="85">SUM(B57:M57)</f>
        <v>12944.585392157696</v>
      </c>
    </row>
    <row r="58" spans="1:14" x14ac:dyDescent="0.2">
      <c r="A58" s="31" t="s">
        <v>47</v>
      </c>
      <c r="B58" s="75">
        <f>IF(B55&gt;$E$2, B55-$E$2, 0)</f>
        <v>0</v>
      </c>
      <c r="C58" s="75">
        <f t="shared" ref="C58:M58" si="86">IF(C55&gt;$E$2, C55-$E$2, 0)</f>
        <v>0</v>
      </c>
      <c r="D58" s="75">
        <f t="shared" si="86"/>
        <v>0</v>
      </c>
      <c r="E58" s="75">
        <f t="shared" si="86"/>
        <v>0</v>
      </c>
      <c r="F58" s="75">
        <f t="shared" si="86"/>
        <v>0</v>
      </c>
      <c r="G58" s="75">
        <f t="shared" si="86"/>
        <v>0</v>
      </c>
      <c r="H58" s="75">
        <f t="shared" si="86"/>
        <v>0</v>
      </c>
      <c r="I58" s="75">
        <f t="shared" si="86"/>
        <v>0</v>
      </c>
      <c r="J58" s="75">
        <f t="shared" si="86"/>
        <v>0</v>
      </c>
      <c r="K58" s="75">
        <f t="shared" si="86"/>
        <v>0</v>
      </c>
      <c r="L58" s="75">
        <f t="shared" si="86"/>
        <v>0</v>
      </c>
      <c r="M58" s="75">
        <f t="shared" si="86"/>
        <v>930.24080301506092</v>
      </c>
      <c r="N58" s="71">
        <f t="shared" si="85"/>
        <v>930.24080301506092</v>
      </c>
    </row>
    <row r="59" spans="1:14" x14ac:dyDescent="0.2">
      <c r="A59" s="63" t="s">
        <v>48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1"/>
    </row>
    <row r="60" spans="1:14" x14ac:dyDescent="0.2">
      <c r="A60" s="30" t="s">
        <v>49</v>
      </c>
      <c r="B60" s="74">
        <f>B56*2.99</f>
        <v>6294.8918346344335</v>
      </c>
      <c r="C60" s="74">
        <f>C56*2.99</f>
        <v>7125.730723214213</v>
      </c>
      <c r="D60" s="74">
        <f t="shared" ref="D60:M60" si="87">D56*2.99</f>
        <v>7354.2518173915523</v>
      </c>
      <c r="E60" s="74">
        <f t="shared" si="87"/>
        <v>8264.6203086062615</v>
      </c>
      <c r="F60" s="74">
        <f t="shared" si="87"/>
        <v>9560.1169193984333</v>
      </c>
      <c r="G60" s="74">
        <f t="shared" si="87"/>
        <v>9572.2670042314821</v>
      </c>
      <c r="H60" s="74">
        <f t="shared" si="87"/>
        <v>5957.3858891024011</v>
      </c>
      <c r="I60" s="74">
        <f t="shared" si="87"/>
        <v>8000.5966227808749</v>
      </c>
      <c r="J60" s="74">
        <f t="shared" si="87"/>
        <v>8543.0562949628729</v>
      </c>
      <c r="K60" s="74">
        <f t="shared" si="87"/>
        <v>10821.383493873938</v>
      </c>
      <c r="L60" s="74">
        <f t="shared" si="87"/>
        <v>11361.388769252031</v>
      </c>
      <c r="M60" s="74">
        <f t="shared" si="87"/>
        <v>11960</v>
      </c>
      <c r="N60" s="72">
        <f>SUM(B60:M60)</f>
        <v>104815.68967744849</v>
      </c>
    </row>
    <row r="61" spans="1:14" x14ac:dyDescent="0.2">
      <c r="A61" s="30" t="s">
        <v>50</v>
      </c>
      <c r="B61" s="74">
        <f>B56*2.5</f>
        <v>5263.2874871525364</v>
      </c>
      <c r="C61" s="74">
        <f t="shared" ref="C61:M61" si="88">C56*2.5</f>
        <v>5957.968832118906</v>
      </c>
      <c r="D61" s="74">
        <f t="shared" si="88"/>
        <v>6149.0399810966155</v>
      </c>
      <c r="E61" s="74">
        <f t="shared" si="88"/>
        <v>6910.2176493363386</v>
      </c>
      <c r="F61" s="74">
        <f t="shared" si="88"/>
        <v>7993.4087954836396</v>
      </c>
      <c r="G61" s="74">
        <f t="shared" si="88"/>
        <v>8003.5677292905366</v>
      </c>
      <c r="H61" s="74">
        <f t="shared" si="88"/>
        <v>4981.0918805204019</v>
      </c>
      <c r="I61" s="74">
        <f t="shared" si="88"/>
        <v>6689.4620591813327</v>
      </c>
      <c r="J61" s="74">
        <f t="shared" si="88"/>
        <v>7143.0236579957127</v>
      </c>
      <c r="K61" s="74">
        <f t="shared" si="88"/>
        <v>9047.9795099280418</v>
      </c>
      <c r="L61" s="74">
        <f t="shared" si="88"/>
        <v>9499.4889375016974</v>
      </c>
      <c r="M61" s="74">
        <f t="shared" si="88"/>
        <v>10000</v>
      </c>
      <c r="N61" s="72">
        <f t="shared" ref="N61:N63" si="89">SUM(B61:M61)</f>
        <v>87638.536519605754</v>
      </c>
    </row>
    <row r="62" spans="1:14" ht="16" thickBot="1" x14ac:dyDescent="0.25">
      <c r="A62" s="30" t="s">
        <v>51</v>
      </c>
      <c r="B62" s="77">
        <f>B57*$G$2</f>
        <v>2368.3562564237318</v>
      </c>
      <c r="C62" s="77">
        <f t="shared" ref="C62:M62" si="90">C57*$G$2</f>
        <v>2021.0155839405468</v>
      </c>
      <c r="D62" s="77">
        <f t="shared" si="90"/>
        <v>1925.4800094516922</v>
      </c>
      <c r="E62" s="77">
        <f t="shared" si="90"/>
        <v>1544.8911753318305</v>
      </c>
      <c r="F62" s="77">
        <f t="shared" si="90"/>
        <v>1003.29560225818</v>
      </c>
      <c r="G62" s="77">
        <f t="shared" si="90"/>
        <v>998.21613535473148</v>
      </c>
      <c r="H62" s="77">
        <f t="shared" si="90"/>
        <v>2509.454059739799</v>
      </c>
      <c r="I62" s="77">
        <f t="shared" si="90"/>
        <v>1655.2689704093336</v>
      </c>
      <c r="J62" s="77">
        <f t="shared" si="90"/>
        <v>1428.4881710021436</v>
      </c>
      <c r="K62" s="77">
        <f t="shared" si="90"/>
        <v>476.01024503597898</v>
      </c>
      <c r="L62" s="77">
        <f t="shared" si="90"/>
        <v>250.2555312491512</v>
      </c>
      <c r="M62" s="77">
        <f t="shared" si="90"/>
        <v>0</v>
      </c>
      <c r="N62" s="72">
        <f t="shared" si="89"/>
        <v>16180.73174019712</v>
      </c>
    </row>
    <row r="63" spans="1:14" ht="16" thickTop="1" x14ac:dyDescent="0.2">
      <c r="A63" s="64" t="s">
        <v>52</v>
      </c>
      <c r="B63" s="75">
        <f>SUM(B60:B62)</f>
        <v>13926.535578210704</v>
      </c>
      <c r="C63" s="75">
        <f t="shared" ref="C63" si="91">SUM(C60:C62)</f>
        <v>15104.715139273665</v>
      </c>
      <c r="D63" s="75">
        <f t="shared" ref="D63" si="92">SUM(D60:D62)</f>
        <v>15428.77180793986</v>
      </c>
      <c r="E63" s="75">
        <f t="shared" ref="E63" si="93">SUM(E60:E62)</f>
        <v>16719.729133274432</v>
      </c>
      <c r="F63" s="75">
        <f t="shared" ref="F63" si="94">SUM(F60:F62)</f>
        <v>18556.821317140253</v>
      </c>
      <c r="G63" s="75">
        <f t="shared" ref="G63" si="95">SUM(G60:G62)</f>
        <v>18574.050868876748</v>
      </c>
      <c r="H63" s="75">
        <f t="shared" ref="H63" si="96">SUM(H60:H62)</f>
        <v>13447.931829362602</v>
      </c>
      <c r="I63" s="75">
        <f t="shared" ref="I63" si="97">SUM(I60:I62)</f>
        <v>16345.327652371541</v>
      </c>
      <c r="J63" s="75">
        <f t="shared" ref="J63" si="98">SUM(J60:J62)</f>
        <v>17114.568123960729</v>
      </c>
      <c r="K63" s="75">
        <f t="shared" ref="K63" si="99">SUM(K60:K62)</f>
        <v>20345.373248837957</v>
      </c>
      <c r="L63" s="75">
        <f t="shared" ref="L63" si="100">SUM(L60:L62)</f>
        <v>21111.13323800288</v>
      </c>
      <c r="M63" s="75">
        <f t="shared" ref="M63" si="101">SUM(M60:M62)</f>
        <v>21960</v>
      </c>
      <c r="N63" s="72">
        <f t="shared" si="89"/>
        <v>208634.95793725137</v>
      </c>
    </row>
    <row r="64" spans="1:14" x14ac:dyDescent="0.2">
      <c r="A64" s="65" t="s">
        <v>53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1"/>
    </row>
    <row r="65" spans="1:14" x14ac:dyDescent="0.2">
      <c r="A65" s="30" t="s">
        <v>54</v>
      </c>
      <c r="B65" s="74">
        <v>5800</v>
      </c>
      <c r="C65" s="74">
        <v>5800</v>
      </c>
      <c r="D65" s="74">
        <v>5800</v>
      </c>
      <c r="E65" s="74">
        <v>5800</v>
      </c>
      <c r="F65" s="74">
        <v>5800</v>
      </c>
      <c r="G65" s="74">
        <v>5800</v>
      </c>
      <c r="H65" s="74">
        <v>5800</v>
      </c>
      <c r="I65" s="74">
        <v>5800</v>
      </c>
      <c r="J65" s="74">
        <v>5800</v>
      </c>
      <c r="K65" s="74">
        <v>5800</v>
      </c>
      <c r="L65" s="74">
        <v>5800</v>
      </c>
      <c r="M65" s="74">
        <v>5800</v>
      </c>
      <c r="N65" s="72">
        <f>SUM(B65:M65)</f>
        <v>69600</v>
      </c>
    </row>
    <row r="66" spans="1:14" x14ac:dyDescent="0.2">
      <c r="A66" s="58" t="s">
        <v>55</v>
      </c>
      <c r="B66" s="74">
        <v>5800</v>
      </c>
      <c r="C66" s="74">
        <v>5800</v>
      </c>
      <c r="D66" s="74">
        <v>5800</v>
      </c>
      <c r="E66" s="74">
        <v>5800</v>
      </c>
      <c r="F66" s="74">
        <v>5800</v>
      </c>
      <c r="G66" s="74">
        <v>5800</v>
      </c>
      <c r="H66" s="74">
        <v>5800</v>
      </c>
      <c r="I66" s="74">
        <v>5800</v>
      </c>
      <c r="J66" s="74">
        <v>5800</v>
      </c>
      <c r="K66" s="74">
        <v>5800</v>
      </c>
      <c r="L66" s="74">
        <v>5800</v>
      </c>
      <c r="M66" s="74">
        <v>5800</v>
      </c>
      <c r="N66" s="72">
        <f>SUM(B66:M66)</f>
        <v>69600</v>
      </c>
    </row>
    <row r="67" spans="1:14" x14ac:dyDescent="0.2">
      <c r="A67" s="3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2"/>
    </row>
    <row r="68" spans="1:14" x14ac:dyDescent="0.2">
      <c r="A68" s="30" t="s">
        <v>56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2"/>
    </row>
    <row r="69" spans="1:14" x14ac:dyDescent="0.2">
      <c r="A69" s="30" t="s">
        <v>57</v>
      </c>
      <c r="B69" s="74">
        <f>$E$2*0.5</f>
        <v>2000</v>
      </c>
      <c r="C69" s="74">
        <f t="shared" ref="C69:M69" si="102">$E$2*0.5</f>
        <v>2000</v>
      </c>
      <c r="D69" s="74">
        <f t="shared" si="102"/>
        <v>2000</v>
      </c>
      <c r="E69" s="74">
        <f t="shared" si="102"/>
        <v>2000</v>
      </c>
      <c r="F69" s="74">
        <f t="shared" si="102"/>
        <v>2000</v>
      </c>
      <c r="G69" s="74">
        <f t="shared" si="102"/>
        <v>2000</v>
      </c>
      <c r="H69" s="74">
        <f t="shared" si="102"/>
        <v>2000</v>
      </c>
      <c r="I69" s="74">
        <f t="shared" si="102"/>
        <v>2000</v>
      </c>
      <c r="J69" s="74">
        <f t="shared" si="102"/>
        <v>2000</v>
      </c>
      <c r="K69" s="74">
        <f t="shared" si="102"/>
        <v>2000</v>
      </c>
      <c r="L69" s="74">
        <f t="shared" si="102"/>
        <v>2000</v>
      </c>
      <c r="M69" s="74">
        <f t="shared" si="102"/>
        <v>2000</v>
      </c>
      <c r="N69" s="72">
        <f>SUM(B69:M69)</f>
        <v>24000</v>
      </c>
    </row>
    <row r="70" spans="1:14" x14ac:dyDescent="0.2">
      <c r="A70" s="30" t="s">
        <v>58</v>
      </c>
      <c r="B70" s="74">
        <f>$E$2*0.6</f>
        <v>2400</v>
      </c>
      <c r="C70" s="74">
        <f t="shared" ref="C70:M70" si="103">$E$2*0.6</f>
        <v>2400</v>
      </c>
      <c r="D70" s="74">
        <f t="shared" si="103"/>
        <v>2400</v>
      </c>
      <c r="E70" s="74">
        <f t="shared" si="103"/>
        <v>2400</v>
      </c>
      <c r="F70" s="74">
        <f t="shared" si="103"/>
        <v>2400</v>
      </c>
      <c r="G70" s="74">
        <f t="shared" si="103"/>
        <v>2400</v>
      </c>
      <c r="H70" s="74">
        <f t="shared" si="103"/>
        <v>2400</v>
      </c>
      <c r="I70" s="74">
        <f t="shared" si="103"/>
        <v>2400</v>
      </c>
      <c r="J70" s="74">
        <f t="shared" si="103"/>
        <v>2400</v>
      </c>
      <c r="K70" s="74">
        <f t="shared" si="103"/>
        <v>2400</v>
      </c>
      <c r="L70" s="74">
        <f t="shared" si="103"/>
        <v>2400</v>
      </c>
      <c r="M70" s="74">
        <f t="shared" si="103"/>
        <v>2400</v>
      </c>
      <c r="N70" s="72">
        <f t="shared" ref="N70:N73" si="104">SUM(B70:M70)</f>
        <v>28800</v>
      </c>
    </row>
    <row r="71" spans="1:14" x14ac:dyDescent="0.2">
      <c r="A71" s="58" t="s">
        <v>59</v>
      </c>
      <c r="B71" s="78">
        <f>SUM(B69,B70)</f>
        <v>4400</v>
      </c>
      <c r="C71" s="78">
        <f t="shared" ref="C71" si="105">SUM(C69,C70)</f>
        <v>4400</v>
      </c>
      <c r="D71" s="78">
        <f t="shared" ref="D71" si="106">SUM(D69,D70)</f>
        <v>4400</v>
      </c>
      <c r="E71" s="78">
        <f t="shared" ref="E71" si="107">SUM(E69,E70)</f>
        <v>4400</v>
      </c>
      <c r="F71" s="78">
        <f t="shared" ref="F71" si="108">SUM(F69,F70)</f>
        <v>4400</v>
      </c>
      <c r="G71" s="78">
        <f t="shared" ref="G71" si="109">SUM(G69,G70)</f>
        <v>4400</v>
      </c>
      <c r="H71" s="78">
        <f t="shared" ref="H71" si="110">SUM(H69,H70)</f>
        <v>4400</v>
      </c>
      <c r="I71" s="78">
        <f t="shared" ref="I71" si="111">SUM(I69,I70)</f>
        <v>4400</v>
      </c>
      <c r="J71" s="78">
        <f t="shared" ref="J71" si="112">SUM(J69,J70)</f>
        <v>4400</v>
      </c>
      <c r="K71" s="78">
        <f t="shared" ref="K71" si="113">SUM(K69,K70)</f>
        <v>4400</v>
      </c>
      <c r="L71" s="78">
        <f t="shared" ref="L71" si="114">SUM(L69,L70)</f>
        <v>4400</v>
      </c>
      <c r="M71" s="78">
        <f t="shared" ref="M71" si="115">SUM(M69,M70)</f>
        <v>4400</v>
      </c>
      <c r="N71" s="72">
        <f t="shared" si="104"/>
        <v>52800</v>
      </c>
    </row>
    <row r="72" spans="1:14" ht="16" thickBot="1" x14ac:dyDescent="0.25">
      <c r="A72" s="30" t="s">
        <v>60</v>
      </c>
      <c r="B72" s="79">
        <f>B58*$F$2</f>
        <v>0</v>
      </c>
      <c r="C72" s="79">
        <f t="shared" ref="C72:M72" si="116">C58*$F$2</f>
        <v>0</v>
      </c>
      <c r="D72" s="79">
        <f t="shared" si="116"/>
        <v>0</v>
      </c>
      <c r="E72" s="79">
        <f t="shared" si="116"/>
        <v>0</v>
      </c>
      <c r="F72" s="79">
        <f t="shared" si="116"/>
        <v>0</v>
      </c>
      <c r="G72" s="79">
        <f t="shared" si="116"/>
        <v>0</v>
      </c>
      <c r="H72" s="79">
        <f t="shared" si="116"/>
        <v>0</v>
      </c>
      <c r="I72" s="79">
        <f t="shared" si="116"/>
        <v>0</v>
      </c>
      <c r="J72" s="79">
        <f t="shared" si="116"/>
        <v>0</v>
      </c>
      <c r="K72" s="79">
        <f t="shared" si="116"/>
        <v>0</v>
      </c>
      <c r="L72" s="79">
        <f t="shared" si="116"/>
        <v>0</v>
      </c>
      <c r="M72" s="79">
        <f t="shared" si="116"/>
        <v>2790.7224090451828</v>
      </c>
      <c r="N72" s="72">
        <f t="shared" si="104"/>
        <v>2790.7224090451828</v>
      </c>
    </row>
    <row r="73" spans="1:14" ht="16" thickTop="1" x14ac:dyDescent="0.2">
      <c r="A73" s="64" t="s">
        <v>61</v>
      </c>
      <c r="B73" s="75">
        <f>SUM(B66,B71,B72)</f>
        <v>10200</v>
      </c>
      <c r="C73" s="75">
        <f>SUM(C66,C71,C72)</f>
        <v>10200</v>
      </c>
      <c r="D73" s="75">
        <f t="shared" ref="D73" si="117">SUM(D66,D71,D72)</f>
        <v>10200</v>
      </c>
      <c r="E73" s="75">
        <f t="shared" ref="E73" si="118">SUM(E66,E71,E72)</f>
        <v>10200</v>
      </c>
      <c r="F73" s="75">
        <f t="shared" ref="F73" si="119">SUM(F66,F71,F72)</f>
        <v>10200</v>
      </c>
      <c r="G73" s="75">
        <f t="shared" ref="G73" si="120">SUM(G66,G71,G72)</f>
        <v>10200</v>
      </c>
      <c r="H73" s="75">
        <f t="shared" ref="H73" si="121">SUM(H66,H71,H72)</f>
        <v>10200</v>
      </c>
      <c r="I73" s="75">
        <f t="shared" ref="I73" si="122">SUM(I66,I71,I72)</f>
        <v>10200</v>
      </c>
      <c r="J73" s="75">
        <f t="shared" ref="J73" si="123">SUM(J66,J71,J72)</f>
        <v>10200</v>
      </c>
      <c r="K73" s="75">
        <f t="shared" ref="K73" si="124">SUM(K66,K71,K72)</f>
        <v>10200</v>
      </c>
      <c r="L73" s="75">
        <f t="shared" ref="L73" si="125">SUM(L66,L71,L72)</f>
        <v>10200</v>
      </c>
      <c r="M73" s="75">
        <f t="shared" ref="M73" si="126">SUM(M66,M71,M72)</f>
        <v>12990.722409045182</v>
      </c>
      <c r="N73" s="72">
        <f t="shared" si="104"/>
        <v>125190.72240904518</v>
      </c>
    </row>
    <row r="74" spans="1:14" ht="16" thickBot="1" x14ac:dyDescent="0.25">
      <c r="A74" s="3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108"/>
    </row>
    <row r="75" spans="1:14" ht="17" thickTop="1" thickBot="1" x14ac:dyDescent="0.25">
      <c r="A75" s="66" t="s">
        <v>62</v>
      </c>
      <c r="B75" s="81">
        <f>B63-B73</f>
        <v>3726.5355782107035</v>
      </c>
      <c r="C75" s="81">
        <f t="shared" ref="C75:M75" si="127">C63-C73</f>
        <v>4904.715139273665</v>
      </c>
      <c r="D75" s="81">
        <f t="shared" si="127"/>
        <v>5228.7718079398601</v>
      </c>
      <c r="E75" s="81">
        <f t="shared" si="127"/>
        <v>6519.7291332744317</v>
      </c>
      <c r="F75" s="81">
        <f t="shared" si="127"/>
        <v>8356.8213171402531</v>
      </c>
      <c r="G75" s="81">
        <f t="shared" si="127"/>
        <v>8374.0508688767477</v>
      </c>
      <c r="H75" s="81">
        <f t="shared" si="127"/>
        <v>3247.931829362602</v>
      </c>
      <c r="I75" s="81">
        <f t="shared" si="127"/>
        <v>6145.3276523715413</v>
      </c>
      <c r="J75" s="81">
        <f t="shared" si="127"/>
        <v>6914.5681239607293</v>
      </c>
      <c r="K75" s="81">
        <f t="shared" si="127"/>
        <v>10145.373248837957</v>
      </c>
      <c r="L75" s="81">
        <f t="shared" si="127"/>
        <v>10911.13323800288</v>
      </c>
      <c r="M75" s="81">
        <f t="shared" si="127"/>
        <v>8969.2775909548182</v>
      </c>
      <c r="N75" s="73">
        <f>SUM(B75:M75)</f>
        <v>83444.235528206191</v>
      </c>
    </row>
    <row r="200" spans="26:26" x14ac:dyDescent="0.2">
      <c r="Z200" t="s">
        <v>100</v>
      </c>
    </row>
    <row r="201" spans="26:26" x14ac:dyDescent="0.2">
      <c r="Z201" t="s">
        <v>99</v>
      </c>
    </row>
  </sheetData>
  <mergeCells count="1">
    <mergeCell ref="B1:D2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7DBF12-166F-4CC4-8926-9C87680F07BC}">
  <sheetPr codeName="Sheet7"/>
  <dimension ref="A1:N75"/>
  <sheetViews>
    <sheetView topLeftCell="A14" zoomScale="110" zoomScaleNormal="100" workbookViewId="0">
      <selection activeCell="N50" sqref="N50"/>
    </sheetView>
  </sheetViews>
  <sheetFormatPr baseColWidth="10" defaultColWidth="8.83203125" defaultRowHeight="15" x14ac:dyDescent="0.2"/>
  <cols>
    <col min="1" max="1" width="25.1640625" bestFit="1" customWidth="1"/>
    <col min="2" max="4" width="13.5" customWidth="1"/>
    <col min="5" max="5" width="16.83203125" bestFit="1" customWidth="1"/>
    <col min="6" max="13" width="13.5" customWidth="1"/>
    <col min="14" max="14" width="14.5" bestFit="1" customWidth="1"/>
  </cols>
  <sheetData>
    <row r="1" spans="1:14" x14ac:dyDescent="0.2">
      <c r="A1" s="28" t="s">
        <v>98</v>
      </c>
      <c r="B1" s="232" t="s">
        <v>113</v>
      </c>
      <c r="C1" s="232"/>
      <c r="D1" s="233"/>
      <c r="E1" s="29" t="s">
        <v>31</v>
      </c>
      <c r="F1" s="29" t="s">
        <v>32</v>
      </c>
      <c r="G1" s="32" t="s">
        <v>33</v>
      </c>
    </row>
    <row r="2" spans="1:14" x14ac:dyDescent="0.2">
      <c r="A2" s="56"/>
      <c r="B2" s="232"/>
      <c r="C2" s="232"/>
      <c r="D2" s="233"/>
      <c r="E2" s="184">
        <f>4000*1.32</f>
        <v>5280</v>
      </c>
      <c r="F2" s="33">
        <v>3</v>
      </c>
      <c r="G2" s="34">
        <v>1.25</v>
      </c>
    </row>
    <row r="3" spans="1:14" ht="16" thickBot="1" x14ac:dyDescent="0.25">
      <c r="A3" s="28" t="s">
        <v>44</v>
      </c>
    </row>
    <row r="4" spans="1:14" x14ac:dyDescent="0.2">
      <c r="A4" s="62" t="s">
        <v>7</v>
      </c>
      <c r="B4" s="60">
        <v>44927</v>
      </c>
      <c r="C4" s="60">
        <v>44958</v>
      </c>
      <c r="D4" s="60">
        <v>44986</v>
      </c>
      <c r="E4" s="60">
        <v>45017</v>
      </c>
      <c r="F4" s="60">
        <v>45047</v>
      </c>
      <c r="G4" s="60">
        <v>45078</v>
      </c>
      <c r="H4" s="60">
        <v>45108</v>
      </c>
      <c r="I4" s="60">
        <v>45139</v>
      </c>
      <c r="J4" s="60">
        <v>45170</v>
      </c>
      <c r="K4" s="60">
        <v>45200</v>
      </c>
      <c r="L4" s="60">
        <v>45231</v>
      </c>
      <c r="M4" s="60">
        <v>45261</v>
      </c>
      <c r="N4" s="70" t="s">
        <v>96</v>
      </c>
    </row>
    <row r="5" spans="1:14" x14ac:dyDescent="0.2">
      <c r="A5" s="30" t="s">
        <v>38</v>
      </c>
      <c r="B5" s="74">
        <f>'SI and regression Pt 2'!I38*1.22</f>
        <v>3470.9247212573482</v>
      </c>
      <c r="C5" s="74">
        <f>'SI and regression Pt 2'!I39*1.22</f>
        <v>3929.0389055054407</v>
      </c>
      <c r="D5" s="74">
        <f>'SI and regression Pt 2'!I40*1.22</f>
        <v>4055.0425821285785</v>
      </c>
      <c r="E5" s="74">
        <f>'SI and regression Pt 2'!I41*1.22</f>
        <v>4557.0083957785582</v>
      </c>
      <c r="F5" s="74">
        <f>'SI and regression Pt 2'!I42*1.22</f>
        <v>5271.3290435081308</v>
      </c>
      <c r="G5" s="74">
        <f>'SI and regression Pt 2'!I43*1.22</f>
        <v>5278.0284485051116</v>
      </c>
      <c r="H5" s="74">
        <f>'SI and regression Pt 2'!I44*1.22</f>
        <v>3284.8281590458864</v>
      </c>
      <c r="I5" s="74">
        <f>'SI and regression Pt 2'!I45*1.22</f>
        <v>4411.4290336222839</v>
      </c>
      <c r="J5" s="74">
        <f>'SI and regression Pt 2'!I46*1.22</f>
        <v>4710.534520407984</v>
      </c>
      <c r="K5" s="74">
        <f>'SI and regression Pt 2'!I47*1.22</f>
        <v>5966.7756768174113</v>
      </c>
      <c r="L5" s="74">
        <f>'SI and regression Pt 2'!I48*1.22</f>
        <v>6264.5278398659839</v>
      </c>
      <c r="M5" s="74">
        <f>'SI and regression Pt 2'!I49*1.22</f>
        <v>8128.2348374032081</v>
      </c>
      <c r="N5" s="71">
        <f>SUM(B5:M5)</f>
        <v>59327.702163845934</v>
      </c>
    </row>
    <row r="6" spans="1:14" x14ac:dyDescent="0.2">
      <c r="A6" s="30" t="s">
        <v>45</v>
      </c>
      <c r="B6" s="74">
        <f>MIN(B5,$E$2)</f>
        <v>3470.9247212573482</v>
      </c>
      <c r="C6" s="74">
        <f>MIN(C5,$E$2)</f>
        <v>3929.0389055054407</v>
      </c>
      <c r="D6" s="74">
        <f>MIN(D5,$E$2)</f>
        <v>4055.0425821285785</v>
      </c>
      <c r="E6" s="74">
        <f t="shared" ref="E6:M6" si="0">MIN(E5,$E$2)</f>
        <v>4557.0083957785582</v>
      </c>
      <c r="F6" s="74">
        <f t="shared" si="0"/>
        <v>5271.3290435081308</v>
      </c>
      <c r="G6" s="74">
        <f t="shared" si="0"/>
        <v>5278.0284485051116</v>
      </c>
      <c r="H6" s="74">
        <f t="shared" si="0"/>
        <v>3284.8281590458864</v>
      </c>
      <c r="I6" s="74">
        <f t="shared" si="0"/>
        <v>4411.4290336222839</v>
      </c>
      <c r="J6" s="74">
        <f t="shared" si="0"/>
        <v>4710.534520407984</v>
      </c>
      <c r="K6" s="74">
        <f t="shared" si="0"/>
        <v>5280</v>
      </c>
      <c r="L6" s="74">
        <f t="shared" si="0"/>
        <v>5280</v>
      </c>
      <c r="M6" s="74">
        <f t="shared" si="0"/>
        <v>5280</v>
      </c>
      <c r="N6" s="71">
        <f>SUM(B6:M6)</f>
        <v>54808.163809759331</v>
      </c>
    </row>
    <row r="7" spans="1:14" x14ac:dyDescent="0.2">
      <c r="A7" s="30" t="s">
        <v>46</v>
      </c>
      <c r="B7" s="74">
        <f>IF($E$2&gt;B5, $E$2-B5, 0)</f>
        <v>1809.0752787426518</v>
      </c>
      <c r="C7" s="74">
        <f t="shared" ref="C7:M7" si="1">IF($E$2&gt;C5, $E$2-C5, 0)</f>
        <v>1350.9610944945593</v>
      </c>
      <c r="D7" s="74">
        <f t="shared" si="1"/>
        <v>1224.9574178714215</v>
      </c>
      <c r="E7" s="74">
        <f t="shared" si="1"/>
        <v>722.99160422144178</v>
      </c>
      <c r="F7" s="74">
        <f t="shared" si="1"/>
        <v>8.6709564918692195</v>
      </c>
      <c r="G7" s="74">
        <f t="shared" si="1"/>
        <v>1.9715514948884447</v>
      </c>
      <c r="H7" s="74">
        <f t="shared" si="1"/>
        <v>1995.1718409541136</v>
      </c>
      <c r="I7" s="74">
        <f t="shared" si="1"/>
        <v>868.5709663777161</v>
      </c>
      <c r="J7" s="74">
        <f t="shared" si="1"/>
        <v>569.46547959201598</v>
      </c>
      <c r="K7" s="74">
        <f t="shared" si="1"/>
        <v>0</v>
      </c>
      <c r="L7" s="74">
        <f t="shared" si="1"/>
        <v>0</v>
      </c>
      <c r="M7" s="74">
        <f t="shared" si="1"/>
        <v>0</v>
      </c>
      <c r="N7" s="71">
        <f t="shared" ref="N7:N8" si="2">SUM(B7:M7)</f>
        <v>8551.8361902406778</v>
      </c>
    </row>
    <row r="8" spans="1:14" x14ac:dyDescent="0.2">
      <c r="A8" s="31" t="s">
        <v>47</v>
      </c>
      <c r="B8" s="75">
        <f>IF(B5&gt;$E$2, B5-$E$2, 0)</f>
        <v>0</v>
      </c>
      <c r="C8" s="75">
        <f t="shared" ref="C8:M8" si="3">IF(C5&gt;$E$2, C5-$E$2, 0)</f>
        <v>0</v>
      </c>
      <c r="D8" s="75">
        <f t="shared" si="3"/>
        <v>0</v>
      </c>
      <c r="E8" s="75">
        <f t="shared" si="3"/>
        <v>0</v>
      </c>
      <c r="F8" s="75">
        <f t="shared" si="3"/>
        <v>0</v>
      </c>
      <c r="G8" s="75">
        <f t="shared" si="3"/>
        <v>0</v>
      </c>
      <c r="H8" s="75">
        <f t="shared" si="3"/>
        <v>0</v>
      </c>
      <c r="I8" s="75">
        <f t="shared" si="3"/>
        <v>0</v>
      </c>
      <c r="J8" s="75">
        <f t="shared" si="3"/>
        <v>0</v>
      </c>
      <c r="K8" s="75">
        <f t="shared" si="3"/>
        <v>686.77567681741129</v>
      </c>
      <c r="L8" s="75">
        <f t="shared" si="3"/>
        <v>984.52783986598388</v>
      </c>
      <c r="M8" s="75">
        <f t="shared" si="3"/>
        <v>2848.2348374032081</v>
      </c>
      <c r="N8" s="71">
        <f t="shared" si="2"/>
        <v>4519.5383540866032</v>
      </c>
    </row>
    <row r="9" spans="1:14" x14ac:dyDescent="0.2">
      <c r="A9" s="63" t="s">
        <v>48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1"/>
    </row>
    <row r="10" spans="1:14" x14ac:dyDescent="0.2">
      <c r="A10" s="30" t="s">
        <v>49</v>
      </c>
      <c r="B10" s="74">
        <f>B6*2.99</f>
        <v>10378.064916559471</v>
      </c>
      <c r="C10" s="74">
        <f>C6*2.99</f>
        <v>11747.826327461269</v>
      </c>
      <c r="D10" s="74">
        <f t="shared" ref="D10:M10" si="4">D6*2.99</f>
        <v>12124.577320564451</v>
      </c>
      <c r="E10" s="74">
        <f t="shared" si="4"/>
        <v>13625.45510337789</v>
      </c>
      <c r="F10" s="74">
        <f t="shared" si="4"/>
        <v>15761.273840089312</v>
      </c>
      <c r="G10" s="74">
        <f t="shared" si="4"/>
        <v>15781.305061030285</v>
      </c>
      <c r="H10" s="74">
        <f t="shared" si="4"/>
        <v>9821.6361955472003</v>
      </c>
      <c r="I10" s="74">
        <f t="shared" si="4"/>
        <v>13190.17281053063</v>
      </c>
      <c r="J10" s="74">
        <f t="shared" si="4"/>
        <v>14084.498216019872</v>
      </c>
      <c r="K10" s="74">
        <f t="shared" si="4"/>
        <v>15787.2</v>
      </c>
      <c r="L10" s="74">
        <f t="shared" si="4"/>
        <v>15787.2</v>
      </c>
      <c r="M10" s="74">
        <f t="shared" si="4"/>
        <v>15787.2</v>
      </c>
      <c r="N10" s="72">
        <f>SUM(B10:M10)</f>
        <v>163876.4097911804</v>
      </c>
    </row>
    <row r="11" spans="1:14" x14ac:dyDescent="0.2">
      <c r="A11" s="30" t="s">
        <v>50</v>
      </c>
      <c r="B11" s="74">
        <f>B6*2.5</f>
        <v>8677.3118031433696</v>
      </c>
      <c r="C11" s="74">
        <f t="shared" ref="C11:M11" si="5">C6*2.5</f>
        <v>9822.5972637636023</v>
      </c>
      <c r="D11" s="74">
        <f t="shared" si="5"/>
        <v>10137.606455321446</v>
      </c>
      <c r="E11" s="74">
        <f t="shared" si="5"/>
        <v>11392.520989446395</v>
      </c>
      <c r="F11" s="74">
        <f t="shared" si="5"/>
        <v>13178.322608770326</v>
      </c>
      <c r="G11" s="74">
        <f t="shared" si="5"/>
        <v>13195.071121262779</v>
      </c>
      <c r="H11" s="74">
        <f t="shared" si="5"/>
        <v>8212.0703976147161</v>
      </c>
      <c r="I11" s="74">
        <f t="shared" si="5"/>
        <v>11028.57258405571</v>
      </c>
      <c r="J11" s="74">
        <f t="shared" si="5"/>
        <v>11776.336301019961</v>
      </c>
      <c r="K11" s="74">
        <f t="shared" si="5"/>
        <v>13200</v>
      </c>
      <c r="L11" s="74">
        <f t="shared" si="5"/>
        <v>13200</v>
      </c>
      <c r="M11" s="74">
        <f t="shared" si="5"/>
        <v>13200</v>
      </c>
      <c r="N11" s="72">
        <f t="shared" ref="N11:N13" si="6">SUM(B11:M11)</f>
        <v>137020.4095243983</v>
      </c>
    </row>
    <row r="12" spans="1:14" ht="16" thickBot="1" x14ac:dyDescent="0.25">
      <c r="A12" s="30" t="s">
        <v>51</v>
      </c>
      <c r="B12" s="77">
        <f>B7*$G$2</f>
        <v>2261.3440984283147</v>
      </c>
      <c r="C12" s="77">
        <f>C7*$G$2</f>
        <v>1688.7013681181993</v>
      </c>
      <c r="D12" s="77">
        <f t="shared" ref="D12:M12" si="7">D7*$G$2</f>
        <v>1531.1967723392768</v>
      </c>
      <c r="E12" s="77">
        <f t="shared" si="7"/>
        <v>903.73950527680222</v>
      </c>
      <c r="F12" s="77">
        <f t="shared" si="7"/>
        <v>10.838695614836524</v>
      </c>
      <c r="G12" s="77">
        <f t="shared" si="7"/>
        <v>2.4644393686105559</v>
      </c>
      <c r="H12" s="77">
        <f t="shared" si="7"/>
        <v>2493.964801192642</v>
      </c>
      <c r="I12" s="77">
        <f t="shared" si="7"/>
        <v>1085.7137079721451</v>
      </c>
      <c r="J12" s="77">
        <f t="shared" si="7"/>
        <v>711.83184949001998</v>
      </c>
      <c r="K12" s="77">
        <f t="shared" si="7"/>
        <v>0</v>
      </c>
      <c r="L12" s="77">
        <f t="shared" si="7"/>
        <v>0</v>
      </c>
      <c r="M12" s="77">
        <f t="shared" si="7"/>
        <v>0</v>
      </c>
      <c r="N12" s="72">
        <f t="shared" si="6"/>
        <v>10689.795237800847</v>
      </c>
    </row>
    <row r="13" spans="1:14" ht="16" thickTop="1" x14ac:dyDescent="0.2">
      <c r="A13" s="64" t="s">
        <v>52</v>
      </c>
      <c r="B13" s="75">
        <f>SUM(B10:B12)</f>
        <v>21316.720818131158</v>
      </c>
      <c r="C13" s="75">
        <f t="shared" ref="C13:M13" si="8">SUM(C10:C12)</f>
        <v>23259.124959343069</v>
      </c>
      <c r="D13" s="75">
        <f t="shared" si="8"/>
        <v>23793.380548225174</v>
      </c>
      <c r="E13" s="75">
        <f t="shared" si="8"/>
        <v>25921.715598101084</v>
      </c>
      <c r="F13" s="75">
        <f t="shared" si="8"/>
        <v>28950.435144474472</v>
      </c>
      <c r="G13" s="75">
        <f t="shared" si="8"/>
        <v>28978.840621661675</v>
      </c>
      <c r="H13" s="75">
        <f t="shared" si="8"/>
        <v>20527.671394354555</v>
      </c>
      <c r="I13" s="75">
        <f t="shared" si="8"/>
        <v>25304.459102558481</v>
      </c>
      <c r="J13" s="75">
        <f t="shared" si="8"/>
        <v>26572.666366529851</v>
      </c>
      <c r="K13" s="75">
        <f t="shared" si="8"/>
        <v>28987.200000000001</v>
      </c>
      <c r="L13" s="75">
        <f t="shared" si="8"/>
        <v>28987.200000000001</v>
      </c>
      <c r="M13" s="75">
        <f t="shared" si="8"/>
        <v>28987.200000000001</v>
      </c>
      <c r="N13" s="72">
        <f t="shared" si="6"/>
        <v>311586.61455337954</v>
      </c>
    </row>
    <row r="14" spans="1:14" x14ac:dyDescent="0.2">
      <c r="A14" s="65" t="s">
        <v>53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1"/>
    </row>
    <row r="15" spans="1:14" x14ac:dyDescent="0.2">
      <c r="A15" s="30" t="s">
        <v>54</v>
      </c>
      <c r="B15" s="74">
        <f>5800+4350</f>
        <v>10150</v>
      </c>
      <c r="C15" s="74">
        <f t="shared" ref="C15:M16" si="9">5800+4350</f>
        <v>10150</v>
      </c>
      <c r="D15" s="74">
        <f t="shared" si="9"/>
        <v>10150</v>
      </c>
      <c r="E15" s="74">
        <f t="shared" si="9"/>
        <v>10150</v>
      </c>
      <c r="F15" s="74">
        <f t="shared" si="9"/>
        <v>10150</v>
      </c>
      <c r="G15" s="74">
        <f t="shared" si="9"/>
        <v>10150</v>
      </c>
      <c r="H15" s="74">
        <f t="shared" si="9"/>
        <v>10150</v>
      </c>
      <c r="I15" s="74">
        <f t="shared" si="9"/>
        <v>10150</v>
      </c>
      <c r="J15" s="74">
        <f t="shared" si="9"/>
        <v>10150</v>
      </c>
      <c r="K15" s="74">
        <f t="shared" si="9"/>
        <v>10150</v>
      </c>
      <c r="L15" s="74">
        <f t="shared" si="9"/>
        <v>10150</v>
      </c>
      <c r="M15" s="74">
        <f t="shared" si="9"/>
        <v>10150</v>
      </c>
      <c r="N15" s="72">
        <f>SUM(B15:M15)</f>
        <v>121800</v>
      </c>
    </row>
    <row r="16" spans="1:14" x14ac:dyDescent="0.2">
      <c r="A16" s="58" t="s">
        <v>55</v>
      </c>
      <c r="B16" s="74">
        <f>5800+4350</f>
        <v>10150</v>
      </c>
      <c r="C16" s="74">
        <f t="shared" si="9"/>
        <v>10150</v>
      </c>
      <c r="D16" s="74">
        <f t="shared" si="9"/>
        <v>10150</v>
      </c>
      <c r="E16" s="74">
        <f t="shared" si="9"/>
        <v>10150</v>
      </c>
      <c r="F16" s="74">
        <f t="shared" si="9"/>
        <v>10150</v>
      </c>
      <c r="G16" s="74">
        <f t="shared" si="9"/>
        <v>10150</v>
      </c>
      <c r="H16" s="74">
        <f t="shared" si="9"/>
        <v>10150</v>
      </c>
      <c r="I16" s="74">
        <f t="shared" si="9"/>
        <v>10150</v>
      </c>
      <c r="J16" s="74">
        <f t="shared" si="9"/>
        <v>10150</v>
      </c>
      <c r="K16" s="74">
        <f t="shared" si="9"/>
        <v>10150</v>
      </c>
      <c r="L16" s="74">
        <f t="shared" si="9"/>
        <v>10150</v>
      </c>
      <c r="M16" s="74">
        <f t="shared" si="9"/>
        <v>10150</v>
      </c>
      <c r="N16" s="72">
        <f>SUM(B16:M16)</f>
        <v>121800</v>
      </c>
    </row>
    <row r="17" spans="1:14" x14ac:dyDescent="0.2">
      <c r="A17" s="30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2"/>
    </row>
    <row r="18" spans="1:14" x14ac:dyDescent="0.2">
      <c r="A18" s="30" t="s">
        <v>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2"/>
    </row>
    <row r="19" spans="1:14" x14ac:dyDescent="0.2">
      <c r="A19" s="30" t="s">
        <v>57</v>
      </c>
      <c r="B19" s="74">
        <f>$E$2*0.5</f>
        <v>2640</v>
      </c>
      <c r="C19" s="74">
        <f t="shared" ref="C19:M19" si="10">$E$2*0.5</f>
        <v>2640</v>
      </c>
      <c r="D19" s="74">
        <f t="shared" si="10"/>
        <v>2640</v>
      </c>
      <c r="E19" s="74">
        <f t="shared" si="10"/>
        <v>2640</v>
      </c>
      <c r="F19" s="74">
        <f t="shared" si="10"/>
        <v>2640</v>
      </c>
      <c r="G19" s="74">
        <f t="shared" si="10"/>
        <v>2640</v>
      </c>
      <c r="H19" s="74">
        <f t="shared" si="10"/>
        <v>2640</v>
      </c>
      <c r="I19" s="74">
        <f t="shared" si="10"/>
        <v>2640</v>
      </c>
      <c r="J19" s="74">
        <f t="shared" si="10"/>
        <v>2640</v>
      </c>
      <c r="K19" s="74">
        <f t="shared" si="10"/>
        <v>2640</v>
      </c>
      <c r="L19" s="74">
        <f t="shared" si="10"/>
        <v>2640</v>
      </c>
      <c r="M19" s="74">
        <f t="shared" si="10"/>
        <v>2640</v>
      </c>
      <c r="N19" s="72">
        <f>SUM(B19:M19)</f>
        <v>31680</v>
      </c>
    </row>
    <row r="20" spans="1:14" x14ac:dyDescent="0.2">
      <c r="A20" s="30" t="s">
        <v>58</v>
      </c>
      <c r="B20" s="74">
        <f>$E$2*0.6</f>
        <v>3168</v>
      </c>
      <c r="C20" s="74">
        <f t="shared" ref="C20:M20" si="11">$E$2*0.6</f>
        <v>3168</v>
      </c>
      <c r="D20" s="74">
        <f t="shared" si="11"/>
        <v>3168</v>
      </c>
      <c r="E20" s="74">
        <f t="shared" si="11"/>
        <v>3168</v>
      </c>
      <c r="F20" s="74">
        <f t="shared" si="11"/>
        <v>3168</v>
      </c>
      <c r="G20" s="74">
        <f t="shared" si="11"/>
        <v>3168</v>
      </c>
      <c r="H20" s="74">
        <f t="shared" si="11"/>
        <v>3168</v>
      </c>
      <c r="I20" s="74">
        <f t="shared" si="11"/>
        <v>3168</v>
      </c>
      <c r="J20" s="74">
        <f t="shared" si="11"/>
        <v>3168</v>
      </c>
      <c r="K20" s="74">
        <f t="shared" si="11"/>
        <v>3168</v>
      </c>
      <c r="L20" s="74">
        <f t="shared" si="11"/>
        <v>3168</v>
      </c>
      <c r="M20" s="74">
        <f t="shared" si="11"/>
        <v>3168</v>
      </c>
      <c r="N20" s="72">
        <f t="shared" ref="N20:N23" si="12">SUM(B20:M20)</f>
        <v>38016</v>
      </c>
    </row>
    <row r="21" spans="1:14" x14ac:dyDescent="0.2">
      <c r="A21" s="58" t="s">
        <v>59</v>
      </c>
      <c r="B21" s="78">
        <f>SUM(B19,B20)</f>
        <v>5808</v>
      </c>
      <c r="C21" s="78">
        <f t="shared" ref="C21:M21" si="13">SUM(C19,C20)</f>
        <v>5808</v>
      </c>
      <c r="D21" s="78">
        <f t="shared" si="13"/>
        <v>5808</v>
      </c>
      <c r="E21" s="78">
        <f t="shared" si="13"/>
        <v>5808</v>
      </c>
      <c r="F21" s="78">
        <f t="shared" si="13"/>
        <v>5808</v>
      </c>
      <c r="G21" s="78">
        <f t="shared" si="13"/>
        <v>5808</v>
      </c>
      <c r="H21" s="78">
        <f t="shared" si="13"/>
        <v>5808</v>
      </c>
      <c r="I21" s="78">
        <f t="shared" si="13"/>
        <v>5808</v>
      </c>
      <c r="J21" s="78">
        <f t="shared" si="13"/>
        <v>5808</v>
      </c>
      <c r="K21" s="78">
        <f t="shared" si="13"/>
        <v>5808</v>
      </c>
      <c r="L21" s="78">
        <f t="shared" si="13"/>
        <v>5808</v>
      </c>
      <c r="M21" s="78">
        <f t="shared" si="13"/>
        <v>5808</v>
      </c>
      <c r="N21" s="72">
        <f t="shared" si="12"/>
        <v>69696</v>
      </c>
    </row>
    <row r="22" spans="1:14" ht="16" thickBot="1" x14ac:dyDescent="0.25">
      <c r="A22" s="30" t="s">
        <v>60</v>
      </c>
      <c r="B22" s="79">
        <f>B8*$F$2</f>
        <v>0</v>
      </c>
      <c r="C22" s="79">
        <f t="shared" ref="C22:M22" si="14">C8*$F$2</f>
        <v>0</v>
      </c>
      <c r="D22" s="79">
        <f>D8*$F$2</f>
        <v>0</v>
      </c>
      <c r="E22" s="79">
        <f t="shared" si="14"/>
        <v>0</v>
      </c>
      <c r="F22" s="79">
        <f t="shared" si="14"/>
        <v>0</v>
      </c>
      <c r="G22" s="79">
        <f t="shared" si="14"/>
        <v>0</v>
      </c>
      <c r="H22" s="79">
        <f t="shared" si="14"/>
        <v>0</v>
      </c>
      <c r="I22" s="79">
        <f t="shared" si="14"/>
        <v>0</v>
      </c>
      <c r="J22" s="79">
        <f t="shared" si="14"/>
        <v>0</v>
      </c>
      <c r="K22" s="79">
        <f t="shared" si="14"/>
        <v>2060.3270304522339</v>
      </c>
      <c r="L22" s="79">
        <f t="shared" si="14"/>
        <v>2953.5835195979516</v>
      </c>
      <c r="M22" s="79">
        <f t="shared" si="14"/>
        <v>8544.7045122096242</v>
      </c>
      <c r="N22" s="72">
        <f t="shared" si="12"/>
        <v>13558.615062259811</v>
      </c>
    </row>
    <row r="23" spans="1:14" ht="16" thickTop="1" x14ac:dyDescent="0.2">
      <c r="A23" s="64" t="s">
        <v>61</v>
      </c>
      <c r="B23" s="75">
        <f>SUM(B16,B21,B22)</f>
        <v>15958</v>
      </c>
      <c r="C23" s="75">
        <f>SUM(C16,C21,C22)</f>
        <v>15958</v>
      </c>
      <c r="D23" s="75">
        <f t="shared" ref="D23:M23" si="15">SUM(D16,D21,D22)</f>
        <v>15958</v>
      </c>
      <c r="E23" s="75">
        <f t="shared" si="15"/>
        <v>15958</v>
      </c>
      <c r="F23" s="75">
        <f t="shared" si="15"/>
        <v>15958</v>
      </c>
      <c r="G23" s="75">
        <f t="shared" si="15"/>
        <v>15958</v>
      </c>
      <c r="H23" s="75">
        <f t="shared" si="15"/>
        <v>15958</v>
      </c>
      <c r="I23" s="75">
        <f t="shared" si="15"/>
        <v>15958</v>
      </c>
      <c r="J23" s="75">
        <f t="shared" si="15"/>
        <v>15958</v>
      </c>
      <c r="K23" s="75">
        <f t="shared" si="15"/>
        <v>18018.327030452234</v>
      </c>
      <c r="L23" s="75">
        <f t="shared" si="15"/>
        <v>18911.583519597953</v>
      </c>
      <c r="M23" s="75">
        <f t="shared" si="15"/>
        <v>24502.704512209624</v>
      </c>
      <c r="N23" s="72">
        <f t="shared" si="12"/>
        <v>205054.61506225981</v>
      </c>
    </row>
    <row r="24" spans="1:14" ht="16" thickBot="1" x14ac:dyDescent="0.25">
      <c r="A24" s="3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108"/>
    </row>
    <row r="25" spans="1:14" ht="17" thickTop="1" thickBot="1" x14ac:dyDescent="0.25">
      <c r="A25" s="66" t="s">
        <v>62</v>
      </c>
      <c r="B25" s="81">
        <f>B13-B23</f>
        <v>5358.720818131158</v>
      </c>
      <c r="C25" s="81">
        <f t="shared" ref="C25:M25" si="16">C13-C23</f>
        <v>7301.1249593430693</v>
      </c>
      <c r="D25" s="81">
        <f t="shared" si="16"/>
        <v>7835.3805482251737</v>
      </c>
      <c r="E25" s="81">
        <f t="shared" si="16"/>
        <v>9963.7155981010837</v>
      </c>
      <c r="F25" s="81">
        <f t="shared" si="16"/>
        <v>12992.435144474472</v>
      </c>
      <c r="G25" s="81">
        <f t="shared" si="16"/>
        <v>13020.840621661675</v>
      </c>
      <c r="H25" s="81">
        <f t="shared" si="16"/>
        <v>4569.6713943545546</v>
      </c>
      <c r="I25" s="81">
        <f t="shared" si="16"/>
        <v>9346.4591025584814</v>
      </c>
      <c r="J25" s="81">
        <f t="shared" si="16"/>
        <v>10614.666366529851</v>
      </c>
      <c r="K25" s="81">
        <f t="shared" si="16"/>
        <v>10968.872969547767</v>
      </c>
      <c r="L25" s="81">
        <f t="shared" si="16"/>
        <v>10075.616480402048</v>
      </c>
      <c r="M25" s="81">
        <f t="shared" si="16"/>
        <v>4484.4954877903765</v>
      </c>
      <c r="N25" s="73">
        <f>SUM(B25:M25)</f>
        <v>106531.99949111973</v>
      </c>
    </row>
    <row r="27" spans="1:14" x14ac:dyDescent="0.2">
      <c r="A27" s="56"/>
      <c r="B27" t="s">
        <v>97</v>
      </c>
    </row>
    <row r="28" spans="1:14" ht="16" thickBot="1" x14ac:dyDescent="0.25">
      <c r="A28" s="28" t="s">
        <v>63</v>
      </c>
    </row>
    <row r="29" spans="1:14" x14ac:dyDescent="0.2">
      <c r="A29" s="62" t="s">
        <v>7</v>
      </c>
      <c r="B29" s="60">
        <f>B4</f>
        <v>44927</v>
      </c>
      <c r="C29" s="60">
        <f t="shared" ref="C29:M29" si="17">C4</f>
        <v>44958</v>
      </c>
      <c r="D29" s="60">
        <f t="shared" si="17"/>
        <v>44986</v>
      </c>
      <c r="E29" s="60">
        <f t="shared" si="17"/>
        <v>45017</v>
      </c>
      <c r="F29" s="60">
        <f t="shared" si="17"/>
        <v>45047</v>
      </c>
      <c r="G29" s="60">
        <f t="shared" si="17"/>
        <v>45078</v>
      </c>
      <c r="H29" s="60">
        <f t="shared" si="17"/>
        <v>45108</v>
      </c>
      <c r="I29" s="60">
        <f t="shared" si="17"/>
        <v>45139</v>
      </c>
      <c r="J29" s="60">
        <f t="shared" si="17"/>
        <v>45170</v>
      </c>
      <c r="K29" s="60">
        <f t="shared" si="17"/>
        <v>45200</v>
      </c>
      <c r="L29" s="60">
        <f t="shared" si="17"/>
        <v>45231</v>
      </c>
      <c r="M29" s="60">
        <f t="shared" si="17"/>
        <v>45261</v>
      </c>
      <c r="N29" s="70" t="s">
        <v>96</v>
      </c>
    </row>
    <row r="30" spans="1:14" x14ac:dyDescent="0.2">
      <c r="A30" s="30" t="s">
        <v>38</v>
      </c>
      <c r="B30" s="74">
        <f>B5*1.22</f>
        <v>4234.5281599339651</v>
      </c>
      <c r="C30" s="74">
        <f t="shared" ref="C30:M30" si="18">C5*1.22</f>
        <v>4793.4274647166376</v>
      </c>
      <c r="D30" s="74">
        <f t="shared" si="18"/>
        <v>4947.151950196866</v>
      </c>
      <c r="E30" s="74">
        <f t="shared" si="18"/>
        <v>5559.5502428498412</v>
      </c>
      <c r="F30" s="74">
        <f t="shared" si="18"/>
        <v>6431.021433079919</v>
      </c>
      <c r="G30" s="74">
        <f t="shared" si="18"/>
        <v>6439.1947071762361</v>
      </c>
      <c r="H30" s="74">
        <f t="shared" si="18"/>
        <v>4007.4903540359815</v>
      </c>
      <c r="I30" s="74">
        <f t="shared" si="18"/>
        <v>5381.9434210191866</v>
      </c>
      <c r="J30" s="74">
        <f t="shared" si="18"/>
        <v>5746.8521148977406</v>
      </c>
      <c r="K30" s="74">
        <f t="shared" si="18"/>
        <v>7279.4663257172415</v>
      </c>
      <c r="L30" s="74">
        <f t="shared" si="18"/>
        <v>7642.7239646365006</v>
      </c>
      <c r="M30" s="74">
        <f t="shared" si="18"/>
        <v>9916.4465016319136</v>
      </c>
      <c r="N30" s="71">
        <f>SUM(B30:M30)</f>
        <v>72379.796639892025</v>
      </c>
    </row>
    <row r="31" spans="1:14" x14ac:dyDescent="0.2">
      <c r="A31" s="30" t="s">
        <v>45</v>
      </c>
      <c r="B31" s="74">
        <f>MIN(B30,$E$2)</f>
        <v>4234.5281599339651</v>
      </c>
      <c r="C31" s="74">
        <f t="shared" ref="C31" si="19">MIN(C30,$E$2)</f>
        <v>4793.4274647166376</v>
      </c>
      <c r="D31" s="74">
        <f>MIN(D30,$E$2)</f>
        <v>4947.151950196866</v>
      </c>
      <c r="E31" s="74">
        <f t="shared" ref="E31" si="20">MIN(E30,$E$2)</f>
        <v>5280</v>
      </c>
      <c r="F31" s="74">
        <f t="shared" ref="F31" si="21">MIN(F30,$E$2)</f>
        <v>5280</v>
      </c>
      <c r="G31" s="74">
        <f t="shared" ref="G31" si="22">MIN(G30,$E$2)</f>
        <v>5280</v>
      </c>
      <c r="H31" s="74">
        <f t="shared" ref="H31" si="23">MIN(H30,$E$2)</f>
        <v>4007.4903540359815</v>
      </c>
      <c r="I31" s="74">
        <f t="shared" ref="I31" si="24">MIN(I30,$E$2)</f>
        <v>5280</v>
      </c>
      <c r="J31" s="74">
        <f t="shared" ref="J31" si="25">MIN(J30,$E$2)</f>
        <v>5280</v>
      </c>
      <c r="K31" s="74">
        <f t="shared" ref="K31" si="26">MIN(K30,$E$2)</f>
        <v>5280</v>
      </c>
      <c r="L31" s="74">
        <f t="shared" ref="L31" si="27">MIN(L30,$E$2)</f>
        <v>5280</v>
      </c>
      <c r="M31" s="74">
        <f t="shared" ref="M31" si="28">MIN(M30,$E$2)</f>
        <v>5280</v>
      </c>
      <c r="N31" s="71">
        <f>SUM(B31:M31)</f>
        <v>60222.59792888345</v>
      </c>
    </row>
    <row r="32" spans="1:14" x14ac:dyDescent="0.2">
      <c r="A32" s="30" t="s">
        <v>46</v>
      </c>
      <c r="B32" s="74">
        <f>IF($E$2&gt;B30, $E$2-B30, 0)</f>
        <v>1045.4718400660349</v>
      </c>
      <c r="C32" s="74">
        <f t="shared" ref="C32:M32" si="29">IF($E$2&gt;C30, $E$2-C30, 0)</f>
        <v>486.57253528336241</v>
      </c>
      <c r="D32" s="74">
        <f t="shared" si="29"/>
        <v>332.84804980313402</v>
      </c>
      <c r="E32" s="74">
        <f t="shared" si="29"/>
        <v>0</v>
      </c>
      <c r="F32" s="74">
        <f t="shared" si="29"/>
        <v>0</v>
      </c>
      <c r="G32" s="74">
        <f t="shared" si="29"/>
        <v>0</v>
      </c>
      <c r="H32" s="74">
        <f t="shared" si="29"/>
        <v>1272.5096459640185</v>
      </c>
      <c r="I32" s="74">
        <f t="shared" si="29"/>
        <v>0</v>
      </c>
      <c r="J32" s="74">
        <f t="shared" si="29"/>
        <v>0</v>
      </c>
      <c r="K32" s="74">
        <f t="shared" si="29"/>
        <v>0</v>
      </c>
      <c r="L32" s="74">
        <f t="shared" si="29"/>
        <v>0</v>
      </c>
      <c r="M32" s="74">
        <f t="shared" si="29"/>
        <v>0</v>
      </c>
      <c r="N32" s="71">
        <f t="shared" ref="N32:N33" si="30">SUM(B32:M32)</f>
        <v>3137.4020711165499</v>
      </c>
    </row>
    <row r="33" spans="1:14" x14ac:dyDescent="0.2">
      <c r="A33" s="31" t="s">
        <v>47</v>
      </c>
      <c r="B33" s="75">
        <f>IF(B30&gt;$E$2, B30-$E$2, 0)</f>
        <v>0</v>
      </c>
      <c r="C33" s="75">
        <f t="shared" ref="C33:M33" si="31">IF(C30&gt;$E$2, C30-$E$2, 0)</f>
        <v>0</v>
      </c>
      <c r="D33" s="75">
        <f t="shared" si="31"/>
        <v>0</v>
      </c>
      <c r="E33" s="75">
        <f t="shared" si="31"/>
        <v>279.5502428498412</v>
      </c>
      <c r="F33" s="75">
        <f t="shared" si="31"/>
        <v>1151.021433079919</v>
      </c>
      <c r="G33" s="75">
        <f t="shared" si="31"/>
        <v>1159.1947071762361</v>
      </c>
      <c r="H33" s="75">
        <f t="shared" si="31"/>
        <v>0</v>
      </c>
      <c r="I33" s="75">
        <f t="shared" si="31"/>
        <v>101.94342101918664</v>
      </c>
      <c r="J33" s="75">
        <f t="shared" si="31"/>
        <v>466.85211489774065</v>
      </c>
      <c r="K33" s="75">
        <f t="shared" si="31"/>
        <v>1999.4663257172415</v>
      </c>
      <c r="L33" s="75">
        <f t="shared" si="31"/>
        <v>2362.7239646365006</v>
      </c>
      <c r="M33" s="75">
        <f t="shared" si="31"/>
        <v>4636.4465016319136</v>
      </c>
      <c r="N33" s="71">
        <f t="shared" si="30"/>
        <v>12157.198711008579</v>
      </c>
    </row>
    <row r="34" spans="1:14" x14ac:dyDescent="0.2">
      <c r="A34" s="63" t="s">
        <v>48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1"/>
    </row>
    <row r="35" spans="1:14" x14ac:dyDescent="0.2">
      <c r="A35" s="30" t="s">
        <v>49</v>
      </c>
      <c r="B35" s="74">
        <f>B31*2.99</f>
        <v>12661.239198202557</v>
      </c>
      <c r="C35" s="74">
        <f>C31*2.99</f>
        <v>14332.348119502747</v>
      </c>
      <c r="D35" s="74">
        <f t="shared" ref="D35:M35" si="32">D31*2.99</f>
        <v>14791.98433108863</v>
      </c>
      <c r="E35" s="74">
        <f t="shared" si="32"/>
        <v>15787.2</v>
      </c>
      <c r="F35" s="74">
        <f t="shared" si="32"/>
        <v>15787.2</v>
      </c>
      <c r="G35" s="74">
        <f t="shared" si="32"/>
        <v>15787.2</v>
      </c>
      <c r="H35" s="74">
        <f t="shared" si="32"/>
        <v>11982.396158567586</v>
      </c>
      <c r="I35" s="74">
        <f t="shared" si="32"/>
        <v>15787.2</v>
      </c>
      <c r="J35" s="74">
        <f t="shared" si="32"/>
        <v>15787.2</v>
      </c>
      <c r="K35" s="74">
        <f t="shared" si="32"/>
        <v>15787.2</v>
      </c>
      <c r="L35" s="74">
        <f t="shared" si="32"/>
        <v>15787.2</v>
      </c>
      <c r="M35" s="74">
        <f t="shared" si="32"/>
        <v>15787.2</v>
      </c>
      <c r="N35" s="72">
        <f>SUM(B35:M35)</f>
        <v>180065.56780736154</v>
      </c>
    </row>
    <row r="36" spans="1:14" x14ac:dyDescent="0.2">
      <c r="A36" s="30" t="s">
        <v>50</v>
      </c>
      <c r="B36" s="74">
        <f>B31*2.5</f>
        <v>10586.320399834913</v>
      </c>
      <c r="C36" s="74">
        <f t="shared" ref="C36:M36" si="33">C31*2.5</f>
        <v>11983.568661791594</v>
      </c>
      <c r="D36" s="74">
        <f t="shared" si="33"/>
        <v>12367.879875492165</v>
      </c>
      <c r="E36" s="74">
        <f t="shared" si="33"/>
        <v>13200</v>
      </c>
      <c r="F36" s="74">
        <f t="shared" si="33"/>
        <v>13200</v>
      </c>
      <c r="G36" s="74">
        <f t="shared" si="33"/>
        <v>13200</v>
      </c>
      <c r="H36" s="74">
        <f t="shared" si="33"/>
        <v>10018.725885089954</v>
      </c>
      <c r="I36" s="74">
        <f t="shared" si="33"/>
        <v>13200</v>
      </c>
      <c r="J36" s="74">
        <f t="shared" si="33"/>
        <v>13200</v>
      </c>
      <c r="K36" s="74">
        <f t="shared" si="33"/>
        <v>13200</v>
      </c>
      <c r="L36" s="74">
        <f t="shared" si="33"/>
        <v>13200</v>
      </c>
      <c r="M36" s="74">
        <f t="shared" si="33"/>
        <v>13200</v>
      </c>
      <c r="N36" s="72">
        <f t="shared" ref="N36:N38" si="34">SUM(B36:M36)</f>
        <v>150556.49482220862</v>
      </c>
    </row>
    <row r="37" spans="1:14" ht="16" thickBot="1" x14ac:dyDescent="0.25">
      <c r="A37" s="30" t="s">
        <v>51</v>
      </c>
      <c r="B37" s="77">
        <f>B32*$G$2</f>
        <v>1306.8398000825437</v>
      </c>
      <c r="C37" s="77">
        <f t="shared" ref="C37:M37" si="35">C32*$G$2</f>
        <v>608.21566910420302</v>
      </c>
      <c r="D37" s="77">
        <f t="shared" si="35"/>
        <v>416.06006225391752</v>
      </c>
      <c r="E37" s="77">
        <f t="shared" si="35"/>
        <v>0</v>
      </c>
      <c r="F37" s="77">
        <f t="shared" si="35"/>
        <v>0</v>
      </c>
      <c r="G37" s="77">
        <f t="shared" si="35"/>
        <v>0</v>
      </c>
      <c r="H37" s="77">
        <f t="shared" si="35"/>
        <v>1590.6370574550233</v>
      </c>
      <c r="I37" s="77">
        <f t="shared" si="35"/>
        <v>0</v>
      </c>
      <c r="J37" s="77">
        <f t="shared" si="35"/>
        <v>0</v>
      </c>
      <c r="K37" s="77">
        <f t="shared" si="35"/>
        <v>0</v>
      </c>
      <c r="L37" s="77">
        <f t="shared" si="35"/>
        <v>0</v>
      </c>
      <c r="M37" s="77">
        <f t="shared" si="35"/>
        <v>0</v>
      </c>
      <c r="N37" s="72">
        <f t="shared" si="34"/>
        <v>3921.7525888956875</v>
      </c>
    </row>
    <row r="38" spans="1:14" ht="16" thickTop="1" x14ac:dyDescent="0.2">
      <c r="A38" s="64" t="s">
        <v>52</v>
      </c>
      <c r="B38" s="75">
        <f>SUM(B35:B37)</f>
        <v>24554.399398120015</v>
      </c>
      <c r="C38" s="75">
        <f t="shared" ref="C38" si="36">SUM(C35:C37)</f>
        <v>26924.132450398545</v>
      </c>
      <c r="D38" s="75">
        <f t="shared" ref="D38" si="37">SUM(D35:D37)</f>
        <v>27575.924268834711</v>
      </c>
      <c r="E38" s="75">
        <f t="shared" ref="E38" si="38">SUM(E35:E37)</f>
        <v>28987.200000000001</v>
      </c>
      <c r="F38" s="75">
        <f t="shared" ref="F38" si="39">SUM(F35:F37)</f>
        <v>28987.200000000001</v>
      </c>
      <c r="G38" s="75">
        <f t="shared" ref="G38" si="40">SUM(G35:G37)</f>
        <v>28987.200000000001</v>
      </c>
      <c r="H38" s="75">
        <f t="shared" ref="H38" si="41">SUM(H35:H37)</f>
        <v>23591.759101112562</v>
      </c>
      <c r="I38" s="75">
        <f t="shared" ref="I38" si="42">SUM(I35:I37)</f>
        <v>28987.200000000001</v>
      </c>
      <c r="J38" s="75">
        <f t="shared" ref="J38" si="43">SUM(J35:J37)</f>
        <v>28987.200000000001</v>
      </c>
      <c r="K38" s="75">
        <f t="shared" ref="K38" si="44">SUM(K35:K37)</f>
        <v>28987.200000000001</v>
      </c>
      <c r="L38" s="75">
        <f t="shared" ref="L38" si="45">SUM(L35:L37)</f>
        <v>28987.200000000001</v>
      </c>
      <c r="M38" s="75">
        <f t="shared" ref="M38" si="46">SUM(M35:M37)</f>
        <v>28987.200000000001</v>
      </c>
      <c r="N38" s="72">
        <f t="shared" si="34"/>
        <v>334543.81521846593</v>
      </c>
    </row>
    <row r="39" spans="1:14" x14ac:dyDescent="0.2">
      <c r="A39" s="65" t="s">
        <v>53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1"/>
    </row>
    <row r="40" spans="1:14" x14ac:dyDescent="0.2">
      <c r="A40" s="30" t="s">
        <v>54</v>
      </c>
      <c r="B40" s="74">
        <f>5800+4350</f>
        <v>10150</v>
      </c>
      <c r="C40" s="74">
        <f t="shared" ref="C40:M41" si="47">5800+4350</f>
        <v>10150</v>
      </c>
      <c r="D40" s="74">
        <f t="shared" si="47"/>
        <v>10150</v>
      </c>
      <c r="E40" s="74">
        <f t="shared" si="47"/>
        <v>10150</v>
      </c>
      <c r="F40" s="74">
        <f t="shared" si="47"/>
        <v>10150</v>
      </c>
      <c r="G40" s="74">
        <f t="shared" si="47"/>
        <v>10150</v>
      </c>
      <c r="H40" s="74">
        <f t="shared" si="47"/>
        <v>10150</v>
      </c>
      <c r="I40" s="74">
        <f t="shared" si="47"/>
        <v>10150</v>
      </c>
      <c r="J40" s="74">
        <f t="shared" si="47"/>
        <v>10150</v>
      </c>
      <c r="K40" s="74">
        <f t="shared" si="47"/>
        <v>10150</v>
      </c>
      <c r="L40" s="74">
        <f t="shared" si="47"/>
        <v>10150</v>
      </c>
      <c r="M40" s="74">
        <f t="shared" si="47"/>
        <v>10150</v>
      </c>
      <c r="N40" s="72">
        <f>SUM(B40:M40)</f>
        <v>121800</v>
      </c>
    </row>
    <row r="41" spans="1:14" x14ac:dyDescent="0.2">
      <c r="A41" s="58" t="s">
        <v>55</v>
      </c>
      <c r="B41" s="74">
        <f>5800+4350</f>
        <v>10150</v>
      </c>
      <c r="C41" s="74">
        <f t="shared" si="47"/>
        <v>10150</v>
      </c>
      <c r="D41" s="74">
        <f t="shared" si="47"/>
        <v>10150</v>
      </c>
      <c r="E41" s="74">
        <f t="shared" si="47"/>
        <v>10150</v>
      </c>
      <c r="F41" s="74">
        <f t="shared" si="47"/>
        <v>10150</v>
      </c>
      <c r="G41" s="74">
        <f t="shared" si="47"/>
        <v>10150</v>
      </c>
      <c r="H41" s="74">
        <f t="shared" si="47"/>
        <v>10150</v>
      </c>
      <c r="I41" s="74">
        <f t="shared" si="47"/>
        <v>10150</v>
      </c>
      <c r="J41" s="74">
        <f t="shared" si="47"/>
        <v>10150</v>
      </c>
      <c r="K41" s="74">
        <f t="shared" si="47"/>
        <v>10150</v>
      </c>
      <c r="L41" s="74">
        <f t="shared" si="47"/>
        <v>10150</v>
      </c>
      <c r="M41" s="74">
        <f t="shared" si="47"/>
        <v>10150</v>
      </c>
      <c r="N41" s="72">
        <f>SUM(B41:M41)</f>
        <v>121800</v>
      </c>
    </row>
    <row r="42" spans="1:14" x14ac:dyDescent="0.2">
      <c r="A42" s="3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2"/>
    </row>
    <row r="43" spans="1:14" x14ac:dyDescent="0.2">
      <c r="A43" s="30" t="s">
        <v>56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2"/>
    </row>
    <row r="44" spans="1:14" x14ac:dyDescent="0.2">
      <c r="A44" s="30" t="s">
        <v>57</v>
      </c>
      <c r="B44" s="74">
        <f>$E$2*0.5</f>
        <v>2640</v>
      </c>
      <c r="C44" s="74">
        <f t="shared" ref="C44:M44" si="48">$E$2*0.5</f>
        <v>2640</v>
      </c>
      <c r="D44" s="74">
        <f t="shared" si="48"/>
        <v>2640</v>
      </c>
      <c r="E44" s="74">
        <f t="shared" si="48"/>
        <v>2640</v>
      </c>
      <c r="F44" s="74">
        <f t="shared" si="48"/>
        <v>2640</v>
      </c>
      <c r="G44" s="74">
        <f t="shared" si="48"/>
        <v>2640</v>
      </c>
      <c r="H44" s="74">
        <f t="shared" si="48"/>
        <v>2640</v>
      </c>
      <c r="I44" s="74">
        <f t="shared" si="48"/>
        <v>2640</v>
      </c>
      <c r="J44" s="74">
        <f t="shared" si="48"/>
        <v>2640</v>
      </c>
      <c r="K44" s="74">
        <f t="shared" si="48"/>
        <v>2640</v>
      </c>
      <c r="L44" s="74">
        <f t="shared" si="48"/>
        <v>2640</v>
      </c>
      <c r="M44" s="74">
        <f t="shared" si="48"/>
        <v>2640</v>
      </c>
      <c r="N44" s="72">
        <f>SUM(B44:M44)</f>
        <v>31680</v>
      </c>
    </row>
    <row r="45" spans="1:14" x14ac:dyDescent="0.2">
      <c r="A45" s="30" t="s">
        <v>58</v>
      </c>
      <c r="B45" s="74">
        <f>$E$2*0.6</f>
        <v>3168</v>
      </c>
      <c r="C45" s="74">
        <f t="shared" ref="C45:M45" si="49">$E$2*0.6</f>
        <v>3168</v>
      </c>
      <c r="D45" s="74">
        <f t="shared" si="49"/>
        <v>3168</v>
      </c>
      <c r="E45" s="74">
        <f t="shared" si="49"/>
        <v>3168</v>
      </c>
      <c r="F45" s="74">
        <f t="shared" si="49"/>
        <v>3168</v>
      </c>
      <c r="G45" s="74">
        <f t="shared" si="49"/>
        <v>3168</v>
      </c>
      <c r="H45" s="74">
        <f t="shared" si="49"/>
        <v>3168</v>
      </c>
      <c r="I45" s="74">
        <f t="shared" si="49"/>
        <v>3168</v>
      </c>
      <c r="J45" s="74">
        <f t="shared" si="49"/>
        <v>3168</v>
      </c>
      <c r="K45" s="74">
        <f t="shared" si="49"/>
        <v>3168</v>
      </c>
      <c r="L45" s="74">
        <f t="shared" si="49"/>
        <v>3168</v>
      </c>
      <c r="M45" s="74">
        <f t="shared" si="49"/>
        <v>3168</v>
      </c>
      <c r="N45" s="72">
        <f t="shared" ref="N45:N48" si="50">SUM(B45:M45)</f>
        <v>38016</v>
      </c>
    </row>
    <row r="46" spans="1:14" x14ac:dyDescent="0.2">
      <c r="A46" s="58" t="s">
        <v>59</v>
      </c>
      <c r="B46" s="78">
        <f>SUM(B44,B45)</f>
        <v>5808</v>
      </c>
      <c r="C46" s="78">
        <f t="shared" ref="C46" si="51">SUM(C44,C45)</f>
        <v>5808</v>
      </c>
      <c r="D46" s="78">
        <f t="shared" ref="D46" si="52">SUM(D44,D45)</f>
        <v>5808</v>
      </c>
      <c r="E46" s="78">
        <f t="shared" ref="E46" si="53">SUM(E44,E45)</f>
        <v>5808</v>
      </c>
      <c r="F46" s="78">
        <f t="shared" ref="F46" si="54">SUM(F44,F45)</f>
        <v>5808</v>
      </c>
      <c r="G46" s="78">
        <f t="shared" ref="G46" si="55">SUM(G44,G45)</f>
        <v>5808</v>
      </c>
      <c r="H46" s="78">
        <f t="shared" ref="H46" si="56">SUM(H44,H45)</f>
        <v>5808</v>
      </c>
      <c r="I46" s="78">
        <f t="shared" ref="I46" si="57">SUM(I44,I45)</f>
        <v>5808</v>
      </c>
      <c r="J46" s="78">
        <f t="shared" ref="J46" si="58">SUM(J44,J45)</f>
        <v>5808</v>
      </c>
      <c r="K46" s="78">
        <f t="shared" ref="K46" si="59">SUM(K44,K45)</f>
        <v>5808</v>
      </c>
      <c r="L46" s="78">
        <f t="shared" ref="L46" si="60">SUM(L44,L45)</f>
        <v>5808</v>
      </c>
      <c r="M46" s="78">
        <f t="shared" ref="M46" si="61">SUM(M44,M45)</f>
        <v>5808</v>
      </c>
      <c r="N46" s="72">
        <f t="shared" si="50"/>
        <v>69696</v>
      </c>
    </row>
    <row r="47" spans="1:14" ht="16" thickBot="1" x14ac:dyDescent="0.25">
      <c r="A47" s="30" t="s">
        <v>60</v>
      </c>
      <c r="B47" s="79">
        <f>B33*$F$2</f>
        <v>0</v>
      </c>
      <c r="C47" s="79">
        <f t="shared" ref="C47:M47" si="62">C33*$F$2</f>
        <v>0</v>
      </c>
      <c r="D47" s="79">
        <f t="shared" si="62"/>
        <v>0</v>
      </c>
      <c r="E47" s="79">
        <f t="shared" si="62"/>
        <v>838.65072854952359</v>
      </c>
      <c r="F47" s="79">
        <f t="shared" si="62"/>
        <v>3453.064299239757</v>
      </c>
      <c r="G47" s="79">
        <f t="shared" si="62"/>
        <v>3477.5841215287082</v>
      </c>
      <c r="H47" s="79">
        <f t="shared" si="62"/>
        <v>0</v>
      </c>
      <c r="I47" s="79">
        <f t="shared" si="62"/>
        <v>305.83026305755993</v>
      </c>
      <c r="J47" s="79">
        <f t="shared" si="62"/>
        <v>1400.5563446932219</v>
      </c>
      <c r="K47" s="79">
        <f t="shared" si="62"/>
        <v>5998.3989771517245</v>
      </c>
      <c r="L47" s="79">
        <f t="shared" si="62"/>
        <v>7088.1718939095017</v>
      </c>
      <c r="M47" s="79">
        <f t="shared" si="62"/>
        <v>13909.339504895741</v>
      </c>
      <c r="N47" s="72">
        <f t="shared" si="50"/>
        <v>36471.596133025741</v>
      </c>
    </row>
    <row r="48" spans="1:14" ht="16" thickTop="1" x14ac:dyDescent="0.2">
      <c r="A48" s="64" t="s">
        <v>61</v>
      </c>
      <c r="B48" s="75">
        <f>SUM(B41,B46,B47)</f>
        <v>15958</v>
      </c>
      <c r="C48" s="75">
        <f>SUM(C41,C46,C47)</f>
        <v>15958</v>
      </c>
      <c r="D48" s="75">
        <f t="shared" ref="D48" si="63">SUM(D41,D46,D47)</f>
        <v>15958</v>
      </c>
      <c r="E48" s="75">
        <f t="shared" ref="E48" si="64">SUM(E41,E46,E47)</f>
        <v>16796.650728549525</v>
      </c>
      <c r="F48" s="75">
        <f t="shared" ref="F48" si="65">SUM(F41,F46,F47)</f>
        <v>19411.064299239755</v>
      </c>
      <c r="G48" s="75">
        <f t="shared" ref="G48" si="66">SUM(G41,G46,G47)</f>
        <v>19435.584121528707</v>
      </c>
      <c r="H48" s="75">
        <f t="shared" ref="H48" si="67">SUM(H41,H46,H47)</f>
        <v>15958</v>
      </c>
      <c r="I48" s="75">
        <f t="shared" ref="I48" si="68">SUM(I41,I46,I47)</f>
        <v>16263.83026305756</v>
      </c>
      <c r="J48" s="75">
        <f t="shared" ref="J48" si="69">SUM(J41,J46,J47)</f>
        <v>17358.556344693221</v>
      </c>
      <c r="K48" s="75">
        <f t="shared" ref="K48" si="70">SUM(K41,K46,K47)</f>
        <v>21956.398977151723</v>
      </c>
      <c r="L48" s="75">
        <f t="shared" ref="L48" si="71">SUM(L41,L46,L47)</f>
        <v>23046.171893909501</v>
      </c>
      <c r="M48" s="75">
        <f t="shared" ref="M48" si="72">SUM(M41,M46,M47)</f>
        <v>29867.339504895739</v>
      </c>
      <c r="N48" s="72">
        <f t="shared" si="50"/>
        <v>227967.59613302571</v>
      </c>
    </row>
    <row r="49" spans="1:14" ht="16" thickBot="1" x14ac:dyDescent="0.25">
      <c r="A49" s="3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108"/>
    </row>
    <row r="50" spans="1:14" ht="17" thickTop="1" thickBot="1" x14ac:dyDescent="0.25">
      <c r="A50" s="66" t="s">
        <v>62</v>
      </c>
      <c r="B50" s="81">
        <f>B38-B48</f>
        <v>8596.3993981200147</v>
      </c>
      <c r="C50" s="81">
        <f t="shared" ref="C50:M50" si="73">C38-C48</f>
        <v>10966.132450398545</v>
      </c>
      <c r="D50" s="81">
        <f t="shared" si="73"/>
        <v>11617.924268834711</v>
      </c>
      <c r="E50" s="81">
        <f t="shared" si="73"/>
        <v>12190.549271450476</v>
      </c>
      <c r="F50" s="81">
        <f t="shared" si="73"/>
        <v>9576.1357007602455</v>
      </c>
      <c r="G50" s="81">
        <f t="shared" si="73"/>
        <v>9551.6158784712934</v>
      </c>
      <c r="H50" s="81">
        <f t="shared" si="73"/>
        <v>7633.7591011125623</v>
      </c>
      <c r="I50" s="81">
        <f t="shared" si="73"/>
        <v>12723.369736942441</v>
      </c>
      <c r="J50" s="81">
        <f t="shared" si="73"/>
        <v>11628.64365530678</v>
      </c>
      <c r="K50" s="81">
        <f t="shared" si="73"/>
        <v>7030.8010228482781</v>
      </c>
      <c r="L50" s="81">
        <f t="shared" si="73"/>
        <v>5941.0281060904999</v>
      </c>
      <c r="M50" s="81">
        <f t="shared" si="73"/>
        <v>-880.13950489573836</v>
      </c>
      <c r="N50" s="73">
        <f>SUM(B50:M50)</f>
        <v>106576.2190854401</v>
      </c>
    </row>
    <row r="52" spans="1:14" x14ac:dyDescent="0.2">
      <c r="A52" s="56"/>
    </row>
    <row r="53" spans="1:14" ht="16" thickBot="1" x14ac:dyDescent="0.25">
      <c r="A53" s="28" t="s">
        <v>64</v>
      </c>
    </row>
    <row r="54" spans="1:14" x14ac:dyDescent="0.2">
      <c r="A54" s="62" t="s">
        <v>7</v>
      </c>
      <c r="B54" s="60">
        <f>B29</f>
        <v>44927</v>
      </c>
      <c r="C54" s="60">
        <f t="shared" ref="C54:M54" si="74">C29</f>
        <v>44958</v>
      </c>
      <c r="D54" s="60">
        <f t="shared" si="74"/>
        <v>44986</v>
      </c>
      <c r="E54" s="60">
        <f t="shared" si="74"/>
        <v>45017</v>
      </c>
      <c r="F54" s="60">
        <f t="shared" si="74"/>
        <v>45047</v>
      </c>
      <c r="G54" s="60">
        <f t="shared" si="74"/>
        <v>45078</v>
      </c>
      <c r="H54" s="60">
        <f t="shared" si="74"/>
        <v>45108</v>
      </c>
      <c r="I54" s="60">
        <f t="shared" si="74"/>
        <v>45139</v>
      </c>
      <c r="J54" s="60">
        <f t="shared" si="74"/>
        <v>45170</v>
      </c>
      <c r="K54" s="60">
        <f t="shared" si="74"/>
        <v>45200</v>
      </c>
      <c r="L54" s="60">
        <f t="shared" si="74"/>
        <v>45231</v>
      </c>
      <c r="M54" s="60">
        <f t="shared" si="74"/>
        <v>45261</v>
      </c>
      <c r="N54" s="70" t="s">
        <v>96</v>
      </c>
    </row>
    <row r="55" spans="1:14" x14ac:dyDescent="0.2">
      <c r="A55" s="30" t="s">
        <v>38</v>
      </c>
      <c r="B55" s="74">
        <f>B5*0.74</f>
        <v>2568.4842937304375</v>
      </c>
      <c r="C55" s="74">
        <f t="shared" ref="C55:M55" si="75">C5*0.74</f>
        <v>2907.4887900740259</v>
      </c>
      <c r="D55" s="74">
        <f t="shared" si="75"/>
        <v>3000.7315107751479</v>
      </c>
      <c r="E55" s="74">
        <f t="shared" si="75"/>
        <v>3372.1862128761331</v>
      </c>
      <c r="F55" s="74">
        <f t="shared" si="75"/>
        <v>3900.7834921960166</v>
      </c>
      <c r="G55" s="74">
        <f t="shared" si="75"/>
        <v>3905.7410518937827</v>
      </c>
      <c r="H55" s="74">
        <f t="shared" si="75"/>
        <v>2430.7728376939558</v>
      </c>
      <c r="I55" s="74">
        <f t="shared" si="75"/>
        <v>3264.45748488049</v>
      </c>
      <c r="J55" s="74">
        <f t="shared" si="75"/>
        <v>3485.7955451019079</v>
      </c>
      <c r="K55" s="74">
        <f t="shared" si="75"/>
        <v>4415.414000844884</v>
      </c>
      <c r="L55" s="74">
        <f t="shared" si="75"/>
        <v>4635.7506015008285</v>
      </c>
      <c r="M55" s="74">
        <f t="shared" si="75"/>
        <v>6014.8937796783739</v>
      </c>
      <c r="N55" s="71">
        <f>SUM(B55:M55)</f>
        <v>43902.499601245981</v>
      </c>
    </row>
    <row r="56" spans="1:14" x14ac:dyDescent="0.2">
      <c r="A56" s="30" t="s">
        <v>45</v>
      </c>
      <c r="B56" s="74">
        <f>MIN(B55,$E$2)</f>
        <v>2568.4842937304375</v>
      </c>
      <c r="C56" s="74">
        <f t="shared" ref="C56" si="76">MIN(C55,$E$2)</f>
        <v>2907.4887900740259</v>
      </c>
      <c r="D56" s="74">
        <f>MIN(D55,$E$2)</f>
        <v>3000.7315107751479</v>
      </c>
      <c r="E56" s="74">
        <f t="shared" ref="E56" si="77">MIN(E55,$E$2)</f>
        <v>3372.1862128761331</v>
      </c>
      <c r="F56" s="74">
        <f t="shared" ref="F56" si="78">MIN(F55,$E$2)</f>
        <v>3900.7834921960166</v>
      </c>
      <c r="G56" s="74">
        <f t="shared" ref="G56" si="79">MIN(G55,$E$2)</f>
        <v>3905.7410518937827</v>
      </c>
      <c r="H56" s="74">
        <f t="shared" ref="H56" si="80">MIN(H55,$E$2)</f>
        <v>2430.7728376939558</v>
      </c>
      <c r="I56" s="74">
        <f t="shared" ref="I56" si="81">MIN(I55,$E$2)</f>
        <v>3264.45748488049</v>
      </c>
      <c r="J56" s="74">
        <f t="shared" ref="J56" si="82">MIN(J55,$E$2)</f>
        <v>3485.7955451019079</v>
      </c>
      <c r="K56" s="74">
        <f t="shared" ref="K56" si="83">MIN(K55,$E$2)</f>
        <v>4415.414000844884</v>
      </c>
      <c r="L56" s="74">
        <f t="shared" ref="L56" si="84">MIN(L55,$E$2)</f>
        <v>4635.7506015008285</v>
      </c>
      <c r="M56" s="74">
        <f t="shared" ref="M56" si="85">MIN(M55,$E$2)</f>
        <v>5280</v>
      </c>
      <c r="N56" s="71">
        <f>SUM(B56:M56)</f>
        <v>43167.605821567609</v>
      </c>
    </row>
    <row r="57" spans="1:14" x14ac:dyDescent="0.2">
      <c r="A57" s="30" t="s">
        <v>46</v>
      </c>
      <c r="B57" s="74">
        <f>IF($E$2&gt;B55, $E$2-B55, 0)</f>
        <v>2711.5157062695625</v>
      </c>
      <c r="C57" s="74">
        <f t="shared" ref="C57:M57" si="86">IF($E$2&gt;C55, $E$2-C55, 0)</f>
        <v>2372.5112099259741</v>
      </c>
      <c r="D57" s="74">
        <f t="shared" si="86"/>
        <v>2279.2684892248521</v>
      </c>
      <c r="E57" s="74">
        <f t="shared" si="86"/>
        <v>1907.8137871238669</v>
      </c>
      <c r="F57" s="74">
        <f t="shared" si="86"/>
        <v>1379.2165078039834</v>
      </c>
      <c r="G57" s="74">
        <f t="shared" si="86"/>
        <v>1374.2589481062173</v>
      </c>
      <c r="H57" s="74">
        <f t="shared" si="86"/>
        <v>2849.2271623060442</v>
      </c>
      <c r="I57" s="74">
        <f t="shared" si="86"/>
        <v>2015.54251511951</v>
      </c>
      <c r="J57" s="74">
        <f t="shared" si="86"/>
        <v>1794.2044548980921</v>
      </c>
      <c r="K57" s="74">
        <f t="shared" si="86"/>
        <v>864.58599915511604</v>
      </c>
      <c r="L57" s="74">
        <f t="shared" si="86"/>
        <v>644.24939849917155</v>
      </c>
      <c r="M57" s="74">
        <f t="shared" si="86"/>
        <v>0</v>
      </c>
      <c r="N57" s="71">
        <f t="shared" ref="N57:N58" si="87">SUM(B57:M57)</f>
        <v>20192.394178432387</v>
      </c>
    </row>
    <row r="58" spans="1:14" x14ac:dyDescent="0.2">
      <c r="A58" s="31" t="s">
        <v>47</v>
      </c>
      <c r="B58" s="75">
        <f>IF(B55&gt;$E$2, B55-$E$2, 0)</f>
        <v>0</v>
      </c>
      <c r="C58" s="75">
        <f t="shared" ref="C58:M58" si="88">IF(C55&gt;$E$2, C55-$E$2, 0)</f>
        <v>0</v>
      </c>
      <c r="D58" s="75">
        <f t="shared" si="88"/>
        <v>0</v>
      </c>
      <c r="E58" s="75">
        <f t="shared" si="88"/>
        <v>0</v>
      </c>
      <c r="F58" s="75">
        <f t="shared" si="88"/>
        <v>0</v>
      </c>
      <c r="G58" s="75">
        <f t="shared" si="88"/>
        <v>0</v>
      </c>
      <c r="H58" s="75">
        <f t="shared" si="88"/>
        <v>0</v>
      </c>
      <c r="I58" s="75">
        <f t="shared" si="88"/>
        <v>0</v>
      </c>
      <c r="J58" s="75">
        <f t="shared" si="88"/>
        <v>0</v>
      </c>
      <c r="K58" s="75">
        <f t="shared" si="88"/>
        <v>0</v>
      </c>
      <c r="L58" s="75">
        <f t="shared" si="88"/>
        <v>0</v>
      </c>
      <c r="M58" s="75">
        <f t="shared" si="88"/>
        <v>734.8937796783739</v>
      </c>
      <c r="N58" s="71">
        <f t="shared" si="87"/>
        <v>734.8937796783739</v>
      </c>
    </row>
    <row r="59" spans="1:14" x14ac:dyDescent="0.2">
      <c r="A59" s="63" t="s">
        <v>48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1"/>
    </row>
    <row r="60" spans="1:14" x14ac:dyDescent="0.2">
      <c r="A60" s="30" t="s">
        <v>49</v>
      </c>
      <c r="B60" s="74">
        <f>B56*2.99</f>
        <v>7679.7680382540084</v>
      </c>
      <c r="C60" s="74">
        <f>C56*2.99</f>
        <v>8693.3914823213381</v>
      </c>
      <c r="D60" s="74">
        <f t="shared" ref="D60:M60" si="89">D56*2.99</f>
        <v>8972.1872172176936</v>
      </c>
      <c r="E60" s="74">
        <f t="shared" si="89"/>
        <v>10082.836776499638</v>
      </c>
      <c r="F60" s="74">
        <f t="shared" si="89"/>
        <v>11663.34264166609</v>
      </c>
      <c r="G60" s="74">
        <f t="shared" si="89"/>
        <v>11678.165745162411</v>
      </c>
      <c r="H60" s="74">
        <f t="shared" si="89"/>
        <v>7268.0107847049285</v>
      </c>
      <c r="I60" s="74">
        <f t="shared" si="89"/>
        <v>9760.7278797926665</v>
      </c>
      <c r="J60" s="74">
        <f t="shared" si="89"/>
        <v>10422.528679854706</v>
      </c>
      <c r="K60" s="74">
        <f t="shared" si="89"/>
        <v>13202.087862526205</v>
      </c>
      <c r="L60" s="74">
        <f t="shared" si="89"/>
        <v>13860.894298487477</v>
      </c>
      <c r="M60" s="74">
        <f t="shared" si="89"/>
        <v>15787.2</v>
      </c>
      <c r="N60" s="72">
        <f>SUM(B60:M60)</f>
        <v>129071.14140648715</v>
      </c>
    </row>
    <row r="61" spans="1:14" x14ac:dyDescent="0.2">
      <c r="A61" s="30" t="s">
        <v>50</v>
      </c>
      <c r="B61" s="74">
        <f>B56*2.5</f>
        <v>6421.2107343260941</v>
      </c>
      <c r="C61" s="74">
        <f t="shared" ref="C61:M61" si="90">C56*2.5</f>
        <v>7268.7219751850644</v>
      </c>
      <c r="D61" s="74">
        <f t="shared" si="90"/>
        <v>7501.8287769378694</v>
      </c>
      <c r="E61" s="74">
        <f t="shared" si="90"/>
        <v>8430.4655321903338</v>
      </c>
      <c r="F61" s="74">
        <f t="shared" si="90"/>
        <v>9751.9587304900415</v>
      </c>
      <c r="G61" s="74">
        <f t="shared" si="90"/>
        <v>9764.3526297344561</v>
      </c>
      <c r="H61" s="74">
        <f t="shared" si="90"/>
        <v>6076.9320942348895</v>
      </c>
      <c r="I61" s="74">
        <f t="shared" si="90"/>
        <v>8161.1437122012248</v>
      </c>
      <c r="J61" s="74">
        <f t="shared" si="90"/>
        <v>8714.4888627547698</v>
      </c>
      <c r="K61" s="74">
        <f t="shared" si="90"/>
        <v>11038.53500211221</v>
      </c>
      <c r="L61" s="74">
        <f t="shared" si="90"/>
        <v>11589.376503752072</v>
      </c>
      <c r="M61" s="74">
        <f t="shared" si="90"/>
        <v>13200</v>
      </c>
      <c r="N61" s="72">
        <f t="shared" ref="N61:N63" si="91">SUM(B61:M61)</f>
        <v>107919.01455391906</v>
      </c>
    </row>
    <row r="62" spans="1:14" ht="16" thickBot="1" x14ac:dyDescent="0.25">
      <c r="A62" s="30" t="s">
        <v>51</v>
      </c>
      <c r="B62" s="77">
        <f>B57*$G$2</f>
        <v>3389.394632836953</v>
      </c>
      <c r="C62" s="77">
        <f t="shared" ref="C62:M62" si="92">C57*$G$2</f>
        <v>2965.6390124074678</v>
      </c>
      <c r="D62" s="77">
        <f t="shared" si="92"/>
        <v>2849.0856115310653</v>
      </c>
      <c r="E62" s="77">
        <f t="shared" si="92"/>
        <v>2384.7672339048336</v>
      </c>
      <c r="F62" s="77">
        <f t="shared" si="92"/>
        <v>1724.0206347549793</v>
      </c>
      <c r="G62" s="77">
        <f t="shared" si="92"/>
        <v>1717.8236851327715</v>
      </c>
      <c r="H62" s="77">
        <f t="shared" si="92"/>
        <v>3561.5339528825552</v>
      </c>
      <c r="I62" s="77">
        <f t="shared" si="92"/>
        <v>2519.4281438993876</v>
      </c>
      <c r="J62" s="77">
        <f t="shared" si="92"/>
        <v>2242.7555686226151</v>
      </c>
      <c r="K62" s="77">
        <f t="shared" si="92"/>
        <v>1080.7324989438951</v>
      </c>
      <c r="L62" s="77">
        <f t="shared" si="92"/>
        <v>805.31174812396443</v>
      </c>
      <c r="M62" s="77">
        <f t="shared" si="92"/>
        <v>0</v>
      </c>
      <c r="N62" s="72">
        <f t="shared" si="91"/>
        <v>25240.49272304049</v>
      </c>
    </row>
    <row r="63" spans="1:14" ht="16" thickTop="1" x14ac:dyDescent="0.2">
      <c r="A63" s="64" t="s">
        <v>52</v>
      </c>
      <c r="B63" s="75">
        <f>SUM(B60:B62)</f>
        <v>17490.373405417056</v>
      </c>
      <c r="C63" s="75">
        <f t="shared" ref="C63" si="93">SUM(C60:C62)</f>
        <v>18927.75246991387</v>
      </c>
      <c r="D63" s="75">
        <f t="shared" ref="D63" si="94">SUM(D60:D62)</f>
        <v>19323.101605686628</v>
      </c>
      <c r="E63" s="75">
        <f t="shared" ref="E63" si="95">SUM(E60:E62)</f>
        <v>20898.069542594803</v>
      </c>
      <c r="F63" s="75">
        <f t="shared" ref="F63" si="96">SUM(F60:F62)</f>
        <v>23139.322006911108</v>
      </c>
      <c r="G63" s="75">
        <f t="shared" ref="G63" si="97">SUM(G60:G62)</f>
        <v>23160.342060029638</v>
      </c>
      <c r="H63" s="75">
        <f t="shared" ref="H63" si="98">SUM(H60:H62)</f>
        <v>16906.476831822372</v>
      </c>
      <c r="I63" s="75">
        <f t="shared" ref="I63" si="99">SUM(I60:I62)</f>
        <v>20441.299735893277</v>
      </c>
      <c r="J63" s="75">
        <f t="shared" ref="J63" si="100">SUM(J60:J62)</f>
        <v>21379.773111232091</v>
      </c>
      <c r="K63" s="75">
        <f t="shared" ref="K63" si="101">SUM(K60:K62)</f>
        <v>25321.355363582312</v>
      </c>
      <c r="L63" s="75">
        <f t="shared" ref="L63" si="102">SUM(L60:L62)</f>
        <v>26255.582550363513</v>
      </c>
      <c r="M63" s="75">
        <f t="shared" ref="M63" si="103">SUM(M60:M62)</f>
        <v>28987.200000000001</v>
      </c>
      <c r="N63" s="72">
        <f t="shared" si="91"/>
        <v>262230.64868344669</v>
      </c>
    </row>
    <row r="64" spans="1:14" x14ac:dyDescent="0.2">
      <c r="A64" s="65" t="s">
        <v>53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1"/>
    </row>
    <row r="65" spans="1:14" x14ac:dyDescent="0.2">
      <c r="A65" s="30" t="s">
        <v>54</v>
      </c>
      <c r="B65" s="74">
        <f>5800+4350</f>
        <v>10150</v>
      </c>
      <c r="C65" s="74">
        <f t="shared" ref="C65:M66" si="104">5800+4350</f>
        <v>10150</v>
      </c>
      <c r="D65" s="74">
        <f t="shared" si="104"/>
        <v>10150</v>
      </c>
      <c r="E65" s="74">
        <f t="shared" si="104"/>
        <v>10150</v>
      </c>
      <c r="F65" s="74">
        <f t="shared" si="104"/>
        <v>10150</v>
      </c>
      <c r="G65" s="74">
        <f t="shared" si="104"/>
        <v>10150</v>
      </c>
      <c r="H65" s="74">
        <f t="shared" si="104"/>
        <v>10150</v>
      </c>
      <c r="I65" s="74">
        <f t="shared" si="104"/>
        <v>10150</v>
      </c>
      <c r="J65" s="74">
        <f t="shared" si="104"/>
        <v>10150</v>
      </c>
      <c r="K65" s="74">
        <f t="shared" si="104"/>
        <v>10150</v>
      </c>
      <c r="L65" s="74">
        <f t="shared" si="104"/>
        <v>10150</v>
      </c>
      <c r="M65" s="74">
        <f t="shared" si="104"/>
        <v>10150</v>
      </c>
      <c r="N65" s="72">
        <f>SUM(B65:M65)</f>
        <v>121800</v>
      </c>
    </row>
    <row r="66" spans="1:14" x14ac:dyDescent="0.2">
      <c r="A66" s="58" t="s">
        <v>55</v>
      </c>
      <c r="B66" s="74">
        <f>5800+4350</f>
        <v>10150</v>
      </c>
      <c r="C66" s="74">
        <f t="shared" si="104"/>
        <v>10150</v>
      </c>
      <c r="D66" s="74">
        <f t="shared" si="104"/>
        <v>10150</v>
      </c>
      <c r="E66" s="74">
        <f t="shared" si="104"/>
        <v>10150</v>
      </c>
      <c r="F66" s="74">
        <f t="shared" si="104"/>
        <v>10150</v>
      </c>
      <c r="G66" s="74">
        <f t="shared" si="104"/>
        <v>10150</v>
      </c>
      <c r="H66" s="74">
        <f t="shared" si="104"/>
        <v>10150</v>
      </c>
      <c r="I66" s="74">
        <f t="shared" si="104"/>
        <v>10150</v>
      </c>
      <c r="J66" s="74">
        <f t="shared" si="104"/>
        <v>10150</v>
      </c>
      <c r="K66" s="74">
        <f t="shared" si="104"/>
        <v>10150</v>
      </c>
      <c r="L66" s="74">
        <f t="shared" si="104"/>
        <v>10150</v>
      </c>
      <c r="M66" s="74">
        <f t="shared" si="104"/>
        <v>10150</v>
      </c>
      <c r="N66" s="72">
        <f>SUM(B66:M66)</f>
        <v>121800</v>
      </c>
    </row>
    <row r="67" spans="1:14" x14ac:dyDescent="0.2">
      <c r="A67" s="3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2"/>
    </row>
    <row r="68" spans="1:14" x14ac:dyDescent="0.2">
      <c r="A68" s="30" t="s">
        <v>56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2"/>
    </row>
    <row r="69" spans="1:14" x14ac:dyDescent="0.2">
      <c r="A69" s="30" t="s">
        <v>57</v>
      </c>
      <c r="B69" s="74">
        <f>$E$2*0.5</f>
        <v>2640</v>
      </c>
      <c r="C69" s="74">
        <f t="shared" ref="C69:M69" si="105">$E$2*0.5</f>
        <v>2640</v>
      </c>
      <c r="D69" s="74">
        <f t="shared" si="105"/>
        <v>2640</v>
      </c>
      <c r="E69" s="74">
        <f t="shared" si="105"/>
        <v>2640</v>
      </c>
      <c r="F69" s="74">
        <f t="shared" si="105"/>
        <v>2640</v>
      </c>
      <c r="G69" s="74">
        <f t="shared" si="105"/>
        <v>2640</v>
      </c>
      <c r="H69" s="74">
        <f t="shared" si="105"/>
        <v>2640</v>
      </c>
      <c r="I69" s="74">
        <f t="shared" si="105"/>
        <v>2640</v>
      </c>
      <c r="J69" s="74">
        <f t="shared" si="105"/>
        <v>2640</v>
      </c>
      <c r="K69" s="74">
        <f t="shared" si="105"/>
        <v>2640</v>
      </c>
      <c r="L69" s="74">
        <f t="shared" si="105"/>
        <v>2640</v>
      </c>
      <c r="M69" s="74">
        <f t="shared" si="105"/>
        <v>2640</v>
      </c>
      <c r="N69" s="72">
        <f>SUM(B69:M69)</f>
        <v>31680</v>
      </c>
    </row>
    <row r="70" spans="1:14" x14ac:dyDescent="0.2">
      <c r="A70" s="30" t="s">
        <v>58</v>
      </c>
      <c r="B70" s="74">
        <f>$E$2*0.6</f>
        <v>3168</v>
      </c>
      <c r="C70" s="74">
        <f t="shared" ref="C70:M70" si="106">$E$2*0.6</f>
        <v>3168</v>
      </c>
      <c r="D70" s="74">
        <f t="shared" si="106"/>
        <v>3168</v>
      </c>
      <c r="E70" s="74">
        <f t="shared" si="106"/>
        <v>3168</v>
      </c>
      <c r="F70" s="74">
        <f t="shared" si="106"/>
        <v>3168</v>
      </c>
      <c r="G70" s="74">
        <f t="shared" si="106"/>
        <v>3168</v>
      </c>
      <c r="H70" s="74">
        <f t="shared" si="106"/>
        <v>3168</v>
      </c>
      <c r="I70" s="74">
        <f t="shared" si="106"/>
        <v>3168</v>
      </c>
      <c r="J70" s="74">
        <f t="shared" si="106"/>
        <v>3168</v>
      </c>
      <c r="K70" s="74">
        <f t="shared" si="106"/>
        <v>3168</v>
      </c>
      <c r="L70" s="74">
        <f t="shared" si="106"/>
        <v>3168</v>
      </c>
      <c r="M70" s="74">
        <f t="shared" si="106"/>
        <v>3168</v>
      </c>
      <c r="N70" s="72">
        <f t="shared" ref="N70:N73" si="107">SUM(B70:M70)</f>
        <v>38016</v>
      </c>
    </row>
    <row r="71" spans="1:14" x14ac:dyDescent="0.2">
      <c r="A71" s="58" t="s">
        <v>59</v>
      </c>
      <c r="B71" s="78">
        <f>SUM(B69,B70)</f>
        <v>5808</v>
      </c>
      <c r="C71" s="78">
        <f t="shared" ref="C71" si="108">SUM(C69,C70)</f>
        <v>5808</v>
      </c>
      <c r="D71" s="78">
        <f t="shared" ref="D71" si="109">SUM(D69,D70)</f>
        <v>5808</v>
      </c>
      <c r="E71" s="78">
        <f t="shared" ref="E71" si="110">SUM(E69,E70)</f>
        <v>5808</v>
      </c>
      <c r="F71" s="78">
        <f t="shared" ref="F71" si="111">SUM(F69,F70)</f>
        <v>5808</v>
      </c>
      <c r="G71" s="78">
        <f t="shared" ref="G71" si="112">SUM(G69,G70)</f>
        <v>5808</v>
      </c>
      <c r="H71" s="78">
        <f t="shared" ref="H71" si="113">SUM(H69,H70)</f>
        <v>5808</v>
      </c>
      <c r="I71" s="78">
        <f t="shared" ref="I71" si="114">SUM(I69,I70)</f>
        <v>5808</v>
      </c>
      <c r="J71" s="78">
        <f t="shared" ref="J71" si="115">SUM(J69,J70)</f>
        <v>5808</v>
      </c>
      <c r="K71" s="78">
        <f t="shared" ref="K71" si="116">SUM(K69,K70)</f>
        <v>5808</v>
      </c>
      <c r="L71" s="78">
        <f t="shared" ref="L71" si="117">SUM(L69,L70)</f>
        <v>5808</v>
      </c>
      <c r="M71" s="78">
        <f t="shared" ref="M71" si="118">SUM(M69,M70)</f>
        <v>5808</v>
      </c>
      <c r="N71" s="72">
        <f t="shared" si="107"/>
        <v>69696</v>
      </c>
    </row>
    <row r="72" spans="1:14" ht="16" thickBot="1" x14ac:dyDescent="0.25">
      <c r="A72" s="30" t="s">
        <v>60</v>
      </c>
      <c r="B72" s="79">
        <f>B58*$F$2</f>
        <v>0</v>
      </c>
      <c r="C72" s="79">
        <f t="shared" ref="C72:M72" si="119">C58*$F$2</f>
        <v>0</v>
      </c>
      <c r="D72" s="79">
        <f t="shared" si="119"/>
        <v>0</v>
      </c>
      <c r="E72" s="79">
        <f t="shared" si="119"/>
        <v>0</v>
      </c>
      <c r="F72" s="79">
        <f t="shared" si="119"/>
        <v>0</v>
      </c>
      <c r="G72" s="79">
        <f t="shared" si="119"/>
        <v>0</v>
      </c>
      <c r="H72" s="79">
        <f t="shared" si="119"/>
        <v>0</v>
      </c>
      <c r="I72" s="79">
        <f t="shared" si="119"/>
        <v>0</v>
      </c>
      <c r="J72" s="79">
        <f t="shared" si="119"/>
        <v>0</v>
      </c>
      <c r="K72" s="79">
        <f t="shared" si="119"/>
        <v>0</v>
      </c>
      <c r="L72" s="79">
        <f t="shared" si="119"/>
        <v>0</v>
      </c>
      <c r="M72" s="79">
        <f t="shared" si="119"/>
        <v>2204.6813390351217</v>
      </c>
      <c r="N72" s="72">
        <f t="shared" si="107"/>
        <v>2204.6813390351217</v>
      </c>
    </row>
    <row r="73" spans="1:14" ht="16" thickTop="1" x14ac:dyDescent="0.2">
      <c r="A73" s="64" t="s">
        <v>61</v>
      </c>
      <c r="B73" s="75">
        <f>SUM(B66,B71,B72)</f>
        <v>15958</v>
      </c>
      <c r="C73" s="75">
        <f>SUM(C66,C71,C72)</f>
        <v>15958</v>
      </c>
      <c r="D73" s="75">
        <f t="shared" ref="D73" si="120">SUM(D66,D71,D72)</f>
        <v>15958</v>
      </c>
      <c r="E73" s="75">
        <f t="shared" ref="E73" si="121">SUM(E66,E71,E72)</f>
        <v>15958</v>
      </c>
      <c r="F73" s="75">
        <f t="shared" ref="F73" si="122">SUM(F66,F71,F72)</f>
        <v>15958</v>
      </c>
      <c r="G73" s="75">
        <f t="shared" ref="G73" si="123">SUM(G66,G71,G72)</f>
        <v>15958</v>
      </c>
      <c r="H73" s="75">
        <f t="shared" ref="H73" si="124">SUM(H66,H71,H72)</f>
        <v>15958</v>
      </c>
      <c r="I73" s="75">
        <f t="shared" ref="I73" si="125">SUM(I66,I71,I72)</f>
        <v>15958</v>
      </c>
      <c r="J73" s="75">
        <f t="shared" ref="J73" si="126">SUM(J66,J71,J72)</f>
        <v>15958</v>
      </c>
      <c r="K73" s="75">
        <f t="shared" ref="K73" si="127">SUM(K66,K71,K72)</f>
        <v>15958</v>
      </c>
      <c r="L73" s="75">
        <f t="shared" ref="L73" si="128">SUM(L66,L71,L72)</f>
        <v>15958</v>
      </c>
      <c r="M73" s="75">
        <f t="shared" ref="M73" si="129">SUM(M66,M71,M72)</f>
        <v>18162.681339035124</v>
      </c>
      <c r="N73" s="72">
        <f t="shared" si="107"/>
        <v>193700.68133903513</v>
      </c>
    </row>
    <row r="74" spans="1:14" ht="16" thickBot="1" x14ac:dyDescent="0.25">
      <c r="A74" s="3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108"/>
    </row>
    <row r="75" spans="1:14" ht="17" thickTop="1" thickBot="1" x14ac:dyDescent="0.25">
      <c r="A75" s="66" t="s">
        <v>62</v>
      </c>
      <c r="B75" s="81">
        <f>B63-B73</f>
        <v>1532.3734054170563</v>
      </c>
      <c r="C75" s="81">
        <f t="shared" ref="C75:M75" si="130">C63-C73</f>
        <v>2969.7524699138703</v>
      </c>
      <c r="D75" s="81">
        <f t="shared" si="130"/>
        <v>3365.1016056866283</v>
      </c>
      <c r="E75" s="81">
        <f t="shared" si="130"/>
        <v>4940.0695425948034</v>
      </c>
      <c r="F75" s="81">
        <f t="shared" si="130"/>
        <v>7181.3220069111085</v>
      </c>
      <c r="G75" s="81">
        <f t="shared" si="130"/>
        <v>7202.3420600296377</v>
      </c>
      <c r="H75" s="81">
        <f t="shared" si="130"/>
        <v>948.47683182237233</v>
      </c>
      <c r="I75" s="81">
        <f t="shared" si="130"/>
        <v>4483.2997358932771</v>
      </c>
      <c r="J75" s="81">
        <f t="shared" si="130"/>
        <v>5421.7731112320907</v>
      </c>
      <c r="K75" s="81">
        <f t="shared" si="130"/>
        <v>9363.3553635823118</v>
      </c>
      <c r="L75" s="81">
        <f t="shared" si="130"/>
        <v>10297.582550363513</v>
      </c>
      <c r="M75" s="81">
        <f t="shared" si="130"/>
        <v>10824.518660964877</v>
      </c>
      <c r="N75" s="73">
        <f>SUM(B75:M75)</f>
        <v>68529.967344411547</v>
      </c>
    </row>
  </sheetData>
  <mergeCells count="1">
    <mergeCell ref="B1:D2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6B18FAC-0ACC-40FF-A9FE-59570DEED5F3}">
  <sheetPr codeName="Sheet8"/>
  <dimension ref="A1:N61"/>
  <sheetViews>
    <sheetView tabSelected="1" topLeftCell="E1" zoomScale="106" zoomScaleNormal="90" workbookViewId="0">
      <selection activeCell="H25" sqref="H25"/>
    </sheetView>
  </sheetViews>
  <sheetFormatPr baseColWidth="10" defaultColWidth="8.83203125" defaultRowHeight="15" x14ac:dyDescent="0.2"/>
  <cols>
    <col min="1" max="1" width="42.5" customWidth="1"/>
    <col min="2" max="7" width="19.5" customWidth="1"/>
    <col min="8" max="8" width="25.83203125" bestFit="1" customWidth="1"/>
    <col min="9" max="12" width="19.5" customWidth="1"/>
    <col min="13" max="13" width="20.33203125" customWidth="1"/>
    <col min="14" max="14" width="19.5" customWidth="1"/>
  </cols>
  <sheetData>
    <row r="1" spans="1:14" ht="16" customHeight="1" x14ac:dyDescent="0.2">
      <c r="A1" s="239" t="s">
        <v>127</v>
      </c>
      <c r="B1" s="21" t="s">
        <v>65</v>
      </c>
      <c r="C1" s="237" t="s">
        <v>113</v>
      </c>
      <c r="D1" s="237"/>
      <c r="E1" s="238"/>
    </row>
    <row r="2" spans="1:14" ht="16" customHeight="1" thickBot="1" x14ac:dyDescent="0.25">
      <c r="A2" s="239"/>
      <c r="C2" s="237"/>
      <c r="D2" s="237"/>
      <c r="E2" s="238"/>
      <c r="I2" s="144" t="s">
        <v>117</v>
      </c>
      <c r="J2" s="144"/>
      <c r="K2" s="144"/>
      <c r="L2" s="144"/>
      <c r="M2" s="144"/>
      <c r="N2" s="44"/>
    </row>
    <row r="3" spans="1:14" ht="19.5" customHeight="1" thickBot="1" x14ac:dyDescent="0.3">
      <c r="A3" s="239"/>
      <c r="B3" s="35"/>
      <c r="C3" s="234" t="s">
        <v>66</v>
      </c>
      <c r="D3" s="235"/>
      <c r="E3" s="236"/>
      <c r="H3" s="36" t="s">
        <v>67</v>
      </c>
      <c r="I3" s="8" t="s">
        <v>68</v>
      </c>
    </row>
    <row r="4" spans="1:14" ht="18.5" customHeight="1" thickBot="1" x14ac:dyDescent="0.25">
      <c r="A4" s="239"/>
      <c r="B4" s="37" t="s">
        <v>69</v>
      </c>
      <c r="C4" s="38" t="s">
        <v>70</v>
      </c>
      <c r="D4" s="39" t="s">
        <v>71</v>
      </c>
      <c r="E4" s="39" t="s">
        <v>72</v>
      </c>
      <c r="H4" s="40" t="str">
        <f>B4</f>
        <v>Decision Alternatives</v>
      </c>
      <c r="I4" s="8" t="s">
        <v>73</v>
      </c>
      <c r="J4" s="8" t="s">
        <v>74</v>
      </c>
      <c r="K4" s="8" t="s">
        <v>75</v>
      </c>
      <c r="L4" s="8" t="s">
        <v>76</v>
      </c>
      <c r="M4" s="8" t="s">
        <v>77</v>
      </c>
      <c r="N4" s="8" t="s">
        <v>78</v>
      </c>
    </row>
    <row r="5" spans="1:14" ht="17" thickTop="1" thickBot="1" x14ac:dyDescent="0.25">
      <c r="A5" s="239"/>
      <c r="B5" s="99" t="s">
        <v>43</v>
      </c>
      <c r="C5" s="73">
        <v>83444.240000000005</v>
      </c>
      <c r="D5" s="88">
        <v>105161.51741716711</v>
      </c>
      <c r="E5" s="103">
        <v>97614.786037717044</v>
      </c>
      <c r="H5" s="68" t="s">
        <v>43</v>
      </c>
      <c r="I5" s="29"/>
      <c r="J5" s="29"/>
      <c r="K5" s="29"/>
      <c r="L5" s="29"/>
      <c r="M5" s="29"/>
      <c r="N5" s="29"/>
    </row>
    <row r="6" spans="1:14" ht="18" thickTop="1" thickBot="1" x14ac:dyDescent="0.25">
      <c r="A6" s="239"/>
      <c r="B6" s="100" t="s">
        <v>98</v>
      </c>
      <c r="C6" s="102">
        <v>68529.967344411547</v>
      </c>
      <c r="D6" s="101">
        <v>106531.99949111973</v>
      </c>
      <c r="E6" s="73">
        <v>106576.2190854401</v>
      </c>
      <c r="H6" s="68" t="s">
        <v>98</v>
      </c>
      <c r="I6" s="29"/>
      <c r="J6" s="29"/>
      <c r="K6" s="29"/>
      <c r="L6" s="29"/>
      <c r="M6" s="29"/>
      <c r="N6" s="29"/>
    </row>
    <row r="7" spans="1:14" ht="17" thickBot="1" x14ac:dyDescent="0.25">
      <c r="B7" s="100" t="s">
        <v>126</v>
      </c>
      <c r="C7" s="102">
        <v>60155.662623357675</v>
      </c>
      <c r="D7" s="101">
        <v>102562.24678832118</v>
      </c>
      <c r="E7" s="104">
        <v>110717.35912773723</v>
      </c>
      <c r="H7" s="100" t="s">
        <v>126</v>
      </c>
      <c r="I7" s="68"/>
      <c r="J7" s="68"/>
      <c r="K7" s="68"/>
      <c r="L7" s="68"/>
      <c r="M7" s="68"/>
      <c r="N7" s="68"/>
    </row>
    <row r="9" spans="1:14" ht="16" x14ac:dyDescent="0.2">
      <c r="B9" s="21" t="s">
        <v>79</v>
      </c>
      <c r="H9" s="9" t="s">
        <v>80</v>
      </c>
    </row>
    <row r="10" spans="1:14" ht="16" thickBot="1" x14ac:dyDescent="0.25">
      <c r="B10" s="43" t="s">
        <v>73</v>
      </c>
      <c r="H10" s="44"/>
    </row>
    <row r="11" spans="1:14" ht="16" thickBot="1" x14ac:dyDescent="0.25">
      <c r="B11" s="35"/>
      <c r="C11" s="234" t="s">
        <v>66</v>
      </c>
      <c r="D11" s="235"/>
      <c r="E11" s="236"/>
    </row>
    <row r="12" spans="1:14" ht="17" thickBot="1" x14ac:dyDescent="0.25">
      <c r="B12" s="37" t="s">
        <v>69</v>
      </c>
      <c r="C12" s="38" t="s">
        <v>70</v>
      </c>
      <c r="D12" s="39" t="s">
        <v>71</v>
      </c>
      <c r="E12" s="39" t="s">
        <v>72</v>
      </c>
      <c r="F12" s="229" t="s">
        <v>213</v>
      </c>
      <c r="G12" s="229" t="s">
        <v>214</v>
      </c>
      <c r="H12" s="145"/>
    </row>
    <row r="13" spans="1:14" x14ac:dyDescent="0.2">
      <c r="B13" s="41" t="s">
        <v>43</v>
      </c>
      <c r="C13" s="98">
        <f>C5</f>
        <v>83444.240000000005</v>
      </c>
      <c r="D13" s="98">
        <f t="shared" ref="D13:E13" si="0">D5</f>
        <v>105161.51741716711</v>
      </c>
      <c r="E13" s="98">
        <f t="shared" si="0"/>
        <v>97614.786037717044</v>
      </c>
      <c r="F13" s="74">
        <f>MIN(C13:E13)</f>
        <v>83444.240000000005</v>
      </c>
      <c r="G13" s="74">
        <f>MAX(F13:F15)</f>
        <v>83444.240000000005</v>
      </c>
      <c r="H13" s="240"/>
      <c r="I13" s="240"/>
      <c r="J13" s="240"/>
      <c r="K13" s="240"/>
      <c r="L13" s="240"/>
    </row>
    <row r="14" spans="1:14" ht="17" thickBot="1" x14ac:dyDescent="0.25">
      <c r="B14" s="42" t="s">
        <v>98</v>
      </c>
      <c r="C14" s="98">
        <f t="shared" ref="C14:E14" si="1">C6</f>
        <v>68529.967344411547</v>
      </c>
      <c r="D14" s="98">
        <f t="shared" si="1"/>
        <v>106531.99949111973</v>
      </c>
      <c r="E14" s="98">
        <f t="shared" si="1"/>
        <v>106576.2190854401</v>
      </c>
      <c r="F14" s="74">
        <f t="shared" ref="F14:F15" si="2">MIN(C14:E14)</f>
        <v>68529.967344411547</v>
      </c>
      <c r="H14" s="240"/>
      <c r="I14" s="240"/>
      <c r="J14" s="240"/>
      <c r="K14" s="240"/>
      <c r="L14" s="240"/>
    </row>
    <row r="15" spans="1:14" ht="17" thickBot="1" x14ac:dyDescent="0.25">
      <c r="B15" s="100" t="s">
        <v>126</v>
      </c>
      <c r="C15" s="98">
        <f t="shared" ref="C15:E15" si="3">C7</f>
        <v>60155.662623357675</v>
      </c>
      <c r="D15" s="98">
        <f t="shared" si="3"/>
        <v>102562.24678832118</v>
      </c>
      <c r="E15" s="98">
        <f t="shared" si="3"/>
        <v>110717.35912773723</v>
      </c>
      <c r="F15" s="74">
        <f t="shared" si="2"/>
        <v>60155.662623357675</v>
      </c>
    </row>
    <row r="17" spans="2:7" ht="16" thickBot="1" x14ac:dyDescent="0.25">
      <c r="B17" s="43" t="s">
        <v>81</v>
      </c>
    </row>
    <row r="18" spans="2:7" ht="16" thickBot="1" x14ac:dyDescent="0.25">
      <c r="B18" s="35"/>
      <c r="C18" s="234" t="s">
        <v>66</v>
      </c>
      <c r="D18" s="235"/>
      <c r="E18" s="236"/>
    </row>
    <row r="19" spans="2:7" ht="17" thickBot="1" x14ac:dyDescent="0.25">
      <c r="B19" s="37" t="s">
        <v>69</v>
      </c>
      <c r="C19" s="38" t="s">
        <v>70</v>
      </c>
      <c r="D19" s="39" t="s">
        <v>71</v>
      </c>
      <c r="E19" s="39" t="s">
        <v>72</v>
      </c>
      <c r="F19" s="229" t="s">
        <v>214</v>
      </c>
      <c r="G19" s="229" t="s">
        <v>214</v>
      </c>
    </row>
    <row r="20" spans="2:7" x14ac:dyDescent="0.2">
      <c r="B20" s="41" t="s">
        <v>43</v>
      </c>
      <c r="C20" s="98">
        <f>C5</f>
        <v>83444.240000000005</v>
      </c>
      <c r="D20" s="98">
        <f t="shared" ref="D20:E20" si="4">D5</f>
        <v>105161.51741716711</v>
      </c>
      <c r="E20" s="98">
        <f t="shared" si="4"/>
        <v>97614.786037717044</v>
      </c>
      <c r="F20" s="74">
        <f>MAX(C20:E20)</f>
        <v>105161.51741716711</v>
      </c>
      <c r="G20" s="74">
        <f>MAX(F20:F22)</f>
        <v>110717.35912773723</v>
      </c>
    </row>
    <row r="21" spans="2:7" ht="17" thickBot="1" x14ac:dyDescent="0.25">
      <c r="B21" s="42" t="s">
        <v>98</v>
      </c>
      <c r="C21" s="98">
        <f t="shared" ref="C21:E21" si="5">C6</f>
        <v>68529.967344411547</v>
      </c>
      <c r="D21" s="98">
        <f t="shared" si="5"/>
        <v>106531.99949111973</v>
      </c>
      <c r="E21" s="98">
        <f t="shared" si="5"/>
        <v>106576.2190854401</v>
      </c>
      <c r="F21" s="74">
        <f>MAX(C21:E21)</f>
        <v>106576.2190854401</v>
      </c>
    </row>
    <row r="22" spans="2:7" ht="17" thickBot="1" x14ac:dyDescent="0.25">
      <c r="B22" s="100" t="s">
        <v>126</v>
      </c>
      <c r="C22" s="98">
        <f t="shared" ref="C22:E22" si="6">C7</f>
        <v>60155.662623357675</v>
      </c>
      <c r="D22" s="98">
        <f t="shared" si="6"/>
        <v>102562.24678832118</v>
      </c>
      <c r="E22" s="98">
        <f t="shared" si="6"/>
        <v>110717.35912773723</v>
      </c>
      <c r="F22" s="74">
        <f>MAX(C22:E22)</f>
        <v>110717.35912773723</v>
      </c>
    </row>
    <row r="24" spans="2:7" ht="16" thickBot="1" x14ac:dyDescent="0.25">
      <c r="B24" s="43" t="s">
        <v>82</v>
      </c>
    </row>
    <row r="25" spans="2:7" ht="16" thickBot="1" x14ac:dyDescent="0.25">
      <c r="B25" s="35"/>
      <c r="C25" s="234" t="s">
        <v>66</v>
      </c>
      <c r="D25" s="235"/>
      <c r="E25" s="236"/>
    </row>
    <row r="26" spans="2:7" ht="17" thickBot="1" x14ac:dyDescent="0.25">
      <c r="B26" s="37" t="s">
        <v>69</v>
      </c>
      <c r="C26" s="38" t="s">
        <v>70</v>
      </c>
      <c r="D26" s="39" t="s">
        <v>71</v>
      </c>
      <c r="E26" s="39" t="s">
        <v>72</v>
      </c>
      <c r="F26" s="229" t="s">
        <v>215</v>
      </c>
      <c r="G26" s="229" t="s">
        <v>214</v>
      </c>
    </row>
    <row r="27" spans="2:7" x14ac:dyDescent="0.2">
      <c r="B27" s="41" t="s">
        <v>43</v>
      </c>
      <c r="C27" s="98">
        <f>C20</f>
        <v>83444.240000000005</v>
      </c>
      <c r="D27" s="98">
        <f t="shared" ref="D27:E27" si="7">D20</f>
        <v>105161.51741716711</v>
      </c>
      <c r="E27" s="98">
        <f t="shared" si="7"/>
        <v>97614.786037717044</v>
      </c>
      <c r="F27" s="74">
        <f>AVERAGE(C27:E27)</f>
        <v>95406.847818294729</v>
      </c>
      <c r="G27" s="74">
        <f>MAX(F27:F29)</f>
        <v>95406.847818294729</v>
      </c>
    </row>
    <row r="28" spans="2:7" ht="17" thickBot="1" x14ac:dyDescent="0.25">
      <c r="B28" s="42" t="s">
        <v>98</v>
      </c>
      <c r="C28" s="98">
        <f t="shared" ref="C28:E28" si="8">C21</f>
        <v>68529.967344411547</v>
      </c>
      <c r="D28" s="98">
        <f t="shared" si="8"/>
        <v>106531.99949111973</v>
      </c>
      <c r="E28" s="98">
        <f t="shared" si="8"/>
        <v>106576.2190854401</v>
      </c>
      <c r="F28" s="74">
        <f t="shared" ref="F28:F29" si="9">AVERAGE(C28:E28)</f>
        <v>93879.395306990467</v>
      </c>
    </row>
    <row r="29" spans="2:7" ht="17" thickBot="1" x14ac:dyDescent="0.25">
      <c r="B29" s="100" t="s">
        <v>126</v>
      </c>
      <c r="C29" s="98">
        <f t="shared" ref="C29:E29" si="10">C22</f>
        <v>60155.662623357675</v>
      </c>
      <c r="D29" s="98">
        <f t="shared" si="10"/>
        <v>102562.24678832118</v>
      </c>
      <c r="E29" s="98">
        <f t="shared" si="10"/>
        <v>110717.35912773723</v>
      </c>
      <c r="F29" s="74">
        <f t="shared" si="9"/>
        <v>91145.089513138693</v>
      </c>
    </row>
    <row r="31" spans="2:7" ht="16" thickBot="1" x14ac:dyDescent="0.25">
      <c r="B31" s="43" t="s">
        <v>83</v>
      </c>
    </row>
    <row r="32" spans="2:7" ht="17" thickBot="1" x14ac:dyDescent="0.25">
      <c r="B32" s="35" t="s">
        <v>84</v>
      </c>
      <c r="C32" s="234" t="s">
        <v>66</v>
      </c>
      <c r="D32" s="235"/>
      <c r="E32" s="236"/>
    </row>
    <row r="33" spans="2:7" ht="17" thickBot="1" x14ac:dyDescent="0.25">
      <c r="B33" s="37" t="s">
        <v>69</v>
      </c>
      <c r="C33" s="38" t="s">
        <v>70</v>
      </c>
      <c r="D33" s="39" t="s">
        <v>71</v>
      </c>
      <c r="E33" s="39" t="s">
        <v>72</v>
      </c>
      <c r="F33" s="74" t="s">
        <v>214</v>
      </c>
      <c r="G33" s="230" t="s">
        <v>213</v>
      </c>
    </row>
    <row r="34" spans="2:7" x14ac:dyDescent="0.2">
      <c r="B34" s="41" t="s">
        <v>43</v>
      </c>
      <c r="C34" s="98">
        <f>$C$27-C27</f>
        <v>0</v>
      </c>
      <c r="D34" s="88">
        <f>$D$28-D27</f>
        <v>1370.4820739526185</v>
      </c>
      <c r="E34" s="103">
        <f>$E$29-E27</f>
        <v>13102.573090020189</v>
      </c>
      <c r="F34" s="74">
        <f>MAX(C34:E34)</f>
        <v>13102.573090020189</v>
      </c>
      <c r="G34" s="74">
        <f>MIN(F34:F36)</f>
        <v>13102.573090020189</v>
      </c>
    </row>
    <row r="35" spans="2:7" ht="17" thickBot="1" x14ac:dyDescent="0.25">
      <c r="B35" s="42" t="s">
        <v>98</v>
      </c>
      <c r="C35" s="98">
        <f>$C$27-C28</f>
        <v>14914.272655588458</v>
      </c>
      <c r="D35" s="88">
        <f t="shared" ref="D35:D36" si="11">$D$28-D28</f>
        <v>0</v>
      </c>
      <c r="E35" s="103">
        <f t="shared" ref="E35:E36" si="12">$E$29-E28</f>
        <v>4141.1400422971346</v>
      </c>
      <c r="F35" s="74">
        <f t="shared" ref="F35:F36" si="13">MAX(C35:E35)</f>
        <v>14914.272655588458</v>
      </c>
    </row>
    <row r="36" spans="2:7" ht="17" thickBot="1" x14ac:dyDescent="0.25">
      <c r="B36" s="100" t="s">
        <v>126</v>
      </c>
      <c r="C36" s="98">
        <f>$C$27-C29</f>
        <v>23288.57737664233</v>
      </c>
      <c r="D36" s="88">
        <f t="shared" si="11"/>
        <v>3969.7527027985489</v>
      </c>
      <c r="E36" s="103">
        <f t="shared" si="12"/>
        <v>0</v>
      </c>
      <c r="F36" s="74">
        <f t="shared" si="13"/>
        <v>23288.57737664233</v>
      </c>
    </row>
    <row r="38" spans="2:7" ht="16" x14ac:dyDescent="0.2">
      <c r="B38" s="21" t="s">
        <v>85</v>
      </c>
    </row>
    <row r="39" spans="2:7" ht="16" thickBot="1" x14ac:dyDescent="0.25">
      <c r="B39" s="43" t="s">
        <v>77</v>
      </c>
    </row>
    <row r="40" spans="2:7" ht="16" thickBot="1" x14ac:dyDescent="0.25">
      <c r="B40" s="35"/>
      <c r="C40" s="113" t="s">
        <v>66</v>
      </c>
      <c r="D40" s="114"/>
      <c r="E40" s="115"/>
    </row>
    <row r="41" spans="2:7" ht="16" x14ac:dyDescent="0.2">
      <c r="B41" s="45" t="s">
        <v>69</v>
      </c>
      <c r="C41" s="46" t="s">
        <v>70</v>
      </c>
      <c r="D41" s="47" t="s">
        <v>71</v>
      </c>
      <c r="E41" s="47" t="s">
        <v>72</v>
      </c>
    </row>
    <row r="42" spans="2:7" ht="17" thickBot="1" x14ac:dyDescent="0.25">
      <c r="B42" s="48" t="s">
        <v>86</v>
      </c>
      <c r="C42" s="106">
        <v>0.33</v>
      </c>
      <c r="D42" s="105">
        <v>0.33</v>
      </c>
      <c r="E42" s="107">
        <v>0.33</v>
      </c>
    </row>
    <row r="43" spans="2:7" ht="17" thickTop="1" thickBot="1" x14ac:dyDescent="0.25">
      <c r="B43" s="49" t="s">
        <v>43</v>
      </c>
      <c r="C43" s="73">
        <v>83444.240000000005</v>
      </c>
      <c r="D43" s="88">
        <v>105161.51741716711</v>
      </c>
      <c r="E43" s="103">
        <v>97614.786037717044</v>
      </c>
      <c r="F43">
        <f>(0.2*C43)+(0.55*D43)+(0.25*E43)</f>
        <v>98931.379088871181</v>
      </c>
      <c r="G43">
        <f>MAX(F43:F45)</f>
        <v>98942.647960358183</v>
      </c>
    </row>
    <row r="44" spans="2:7" ht="18" thickTop="1" thickBot="1" x14ac:dyDescent="0.25">
      <c r="B44" s="42" t="s">
        <v>98</v>
      </c>
      <c r="C44" s="102">
        <v>68529.967344411547</v>
      </c>
      <c r="D44" s="101">
        <v>106531.99949111973</v>
      </c>
      <c r="E44" s="73">
        <v>106576.2190854401</v>
      </c>
      <c r="F44">
        <f>(0.2*C44)+(0.55*D44)+(0.25*E44)</f>
        <v>98942.647960358183</v>
      </c>
    </row>
    <row r="45" spans="2:7" ht="17" thickBot="1" x14ac:dyDescent="0.25">
      <c r="B45" s="100" t="s">
        <v>126</v>
      </c>
      <c r="C45" s="102">
        <v>60155.662623357675</v>
      </c>
      <c r="D45" s="101">
        <v>102562.24678832118</v>
      </c>
      <c r="E45" s="104">
        <v>110717.35912773723</v>
      </c>
      <c r="F45">
        <f t="shared" ref="F45" si="14">(0.2*C45)+(0.55*D45)+(0.25*E45)</f>
        <v>96119.708040182493</v>
      </c>
    </row>
    <row r="47" spans="2:7" ht="16" thickBot="1" x14ac:dyDescent="0.25">
      <c r="B47" s="43" t="s">
        <v>87</v>
      </c>
    </row>
    <row r="48" spans="2:7" ht="16" thickBot="1" x14ac:dyDescent="0.25">
      <c r="B48" s="35"/>
      <c r="C48" s="113" t="s">
        <v>66</v>
      </c>
      <c r="D48" s="114"/>
      <c r="E48" s="115"/>
    </row>
    <row r="49" spans="2:7" ht="16" x14ac:dyDescent="0.2">
      <c r="B49" s="45" t="s">
        <v>69</v>
      </c>
      <c r="C49" s="46" t="s">
        <v>70</v>
      </c>
      <c r="D49" s="47" t="s">
        <v>71</v>
      </c>
      <c r="E49" s="47" t="s">
        <v>72</v>
      </c>
      <c r="F49" s="82"/>
    </row>
    <row r="50" spans="2:7" ht="17" thickBot="1" x14ac:dyDescent="0.25">
      <c r="B50" s="48" t="s">
        <v>86</v>
      </c>
      <c r="C50" s="106">
        <v>0.2</v>
      </c>
      <c r="D50" s="105">
        <v>0.55000000000000004</v>
      </c>
      <c r="E50" s="107">
        <v>0.25</v>
      </c>
      <c r="F50" s="82"/>
    </row>
    <row r="51" spans="2:7" ht="18" thickTop="1" thickBot="1" x14ac:dyDescent="0.25">
      <c r="B51" s="42" t="s">
        <v>111</v>
      </c>
      <c r="C51" s="73">
        <v>83444.240000000005</v>
      </c>
      <c r="D51" s="101">
        <v>106531.99949111973</v>
      </c>
      <c r="E51" s="104">
        <v>110717.35912773723</v>
      </c>
      <c r="F51">
        <f>(0.2*C51)+(0.55*D51)+(0.25*E51)</f>
        <v>102960.78750205017</v>
      </c>
    </row>
    <row r="53" spans="2:7" x14ac:dyDescent="0.2">
      <c r="B53" s="43" t="s">
        <v>88</v>
      </c>
      <c r="C53" s="44">
        <f>F51-F43</f>
        <v>4029.4084131789859</v>
      </c>
    </row>
    <row r="55" spans="2:7" ht="16" thickBot="1" x14ac:dyDescent="0.25">
      <c r="B55" s="43" t="s">
        <v>78</v>
      </c>
    </row>
    <row r="56" spans="2:7" ht="17" thickBot="1" x14ac:dyDescent="0.25">
      <c r="B56" s="35" t="s">
        <v>84</v>
      </c>
      <c r="C56" s="113" t="s">
        <v>66</v>
      </c>
      <c r="D56" s="114"/>
      <c r="E56" s="115"/>
    </row>
    <row r="57" spans="2:7" ht="16" x14ac:dyDescent="0.2">
      <c r="B57" s="45" t="s">
        <v>69</v>
      </c>
      <c r="C57" s="46" t="s">
        <v>70</v>
      </c>
      <c r="D57" s="47" t="s">
        <v>71</v>
      </c>
      <c r="E57" s="47" t="s">
        <v>72</v>
      </c>
    </row>
    <row r="58" spans="2:7" ht="16" x14ac:dyDescent="0.2">
      <c r="B58" s="48" t="s">
        <v>86</v>
      </c>
      <c r="C58" s="106">
        <v>0.2</v>
      </c>
      <c r="D58" s="105">
        <v>0.55000000000000004</v>
      </c>
      <c r="E58" s="107">
        <v>0.25</v>
      </c>
      <c r="G58" t="s">
        <v>213</v>
      </c>
    </row>
    <row r="59" spans="2:7" x14ac:dyDescent="0.2">
      <c r="B59" s="49" t="s">
        <v>43</v>
      </c>
      <c r="C59" s="98">
        <v>0</v>
      </c>
      <c r="D59" s="88">
        <v>1370.4820739526185</v>
      </c>
      <c r="E59" s="103">
        <v>13102.573090020189</v>
      </c>
      <c r="F59">
        <f>(0.2*C59)+(0.55*D59)+(0.25*E59)</f>
        <v>4029.4084131789873</v>
      </c>
      <c r="G59">
        <f>MIN(F59:F61)</f>
        <v>4018.1395416919754</v>
      </c>
    </row>
    <row r="60" spans="2:7" ht="17" thickBot="1" x14ac:dyDescent="0.25">
      <c r="B60" s="42" t="s">
        <v>98</v>
      </c>
      <c r="C60" s="98">
        <v>14914.272655588458</v>
      </c>
      <c r="D60" s="88">
        <v>0</v>
      </c>
      <c r="E60" s="103">
        <v>4141.1400422971346</v>
      </c>
      <c r="F60">
        <f t="shared" ref="F60:F61" si="15">(0.2*C60)+(0.55*D60)+(0.25*E60)</f>
        <v>4018.1395416919754</v>
      </c>
    </row>
    <row r="61" spans="2:7" ht="17" thickBot="1" x14ac:dyDescent="0.25">
      <c r="B61" s="100" t="s">
        <v>126</v>
      </c>
      <c r="C61" s="98">
        <v>23288.57737664233</v>
      </c>
      <c r="D61" s="88">
        <v>3969.7527027985489</v>
      </c>
      <c r="E61" s="103">
        <v>0</v>
      </c>
      <c r="F61">
        <f t="shared" si="15"/>
        <v>6841.0794618676682</v>
      </c>
    </row>
  </sheetData>
  <mergeCells count="8">
    <mergeCell ref="C25:E25"/>
    <mergeCell ref="C32:E32"/>
    <mergeCell ref="C1:E2"/>
    <mergeCell ref="A1:A6"/>
    <mergeCell ref="H13:L14"/>
    <mergeCell ref="C3:E3"/>
    <mergeCell ref="C11:E11"/>
    <mergeCell ref="C18:E18"/>
  </mergeCells>
  <conditionalFormatting sqref="I5:I7">
    <cfRule type="cellIs" dxfId="5" priority="6" operator="equal">
      <formula>$I$7</formula>
    </cfRule>
  </conditionalFormatting>
  <conditionalFormatting sqref="J5:J7">
    <cfRule type="cellIs" dxfId="4" priority="5" operator="equal">
      <formula>$J$7</formula>
    </cfRule>
  </conditionalFormatting>
  <conditionalFormatting sqref="K5:K7">
    <cfRule type="cellIs" dxfId="3" priority="4" operator="equal">
      <formula>$K$7</formula>
    </cfRule>
  </conditionalFormatting>
  <conditionalFormatting sqref="L5:L7">
    <cfRule type="cellIs" dxfId="2" priority="3" operator="equal">
      <formula>$L$7</formula>
    </cfRule>
  </conditionalFormatting>
  <conditionalFormatting sqref="M5:M7">
    <cfRule type="cellIs" dxfId="1" priority="2" operator="equal">
      <formula>$M$7</formula>
    </cfRule>
  </conditionalFormatting>
  <conditionalFormatting sqref="N5:N7">
    <cfRule type="cellIs" dxfId="0" priority="1" operator="equal">
      <formula>$N$7</formula>
    </cfRule>
  </conditionalFormatting>
  <pageMargins left="0.7" right="0.7" top="0.75" bottom="0.75" header="0.3" footer="0.3"/>
  <pageSetup orientation="portrait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D6742E-12A9-1D45-97EB-E0FC92FEDFF5}">
  <dimension ref="A1:AB44"/>
  <sheetViews>
    <sheetView workbookViewId="0">
      <selection activeCell="I40" sqref="I40"/>
    </sheetView>
  </sheetViews>
  <sheetFormatPr baseColWidth="10" defaultColWidth="8.83203125" defaultRowHeight="15" x14ac:dyDescent="0.2"/>
  <cols>
    <col min="1" max="1" width="9.6640625" bestFit="1" customWidth="1"/>
    <col min="2" max="2" width="45.1640625" customWidth="1"/>
    <col min="3" max="3" width="17.6640625" customWidth="1"/>
    <col min="4" max="4" width="16.33203125" customWidth="1"/>
    <col min="8" max="8" width="17.5" customWidth="1"/>
    <col min="9" max="9" width="12.1640625" bestFit="1" customWidth="1"/>
    <col min="10" max="10" width="13.1640625" bestFit="1" customWidth="1"/>
    <col min="11" max="12" width="12.1640625" bestFit="1" customWidth="1"/>
    <col min="13" max="13" width="12.6640625" bestFit="1" customWidth="1"/>
    <col min="14" max="14" width="12.1640625" bestFit="1" customWidth="1"/>
    <col min="15" max="15" width="12.6640625" bestFit="1" customWidth="1"/>
    <col min="16" max="16" width="12.1640625" bestFit="1" customWidth="1"/>
  </cols>
  <sheetData>
    <row r="1" spans="1:25" s="117" customFormat="1" ht="33" thickBot="1" x14ac:dyDescent="0.25">
      <c r="A1" s="195" t="s">
        <v>37</v>
      </c>
      <c r="B1" s="194" t="s">
        <v>38</v>
      </c>
      <c r="C1" s="193" t="s">
        <v>197</v>
      </c>
      <c r="D1" s="193" t="s">
        <v>196</v>
      </c>
      <c r="E1" s="193" t="s">
        <v>195</v>
      </c>
      <c r="H1" t="s">
        <v>194</v>
      </c>
    </row>
    <row r="2" spans="1:25" ht="16" x14ac:dyDescent="0.2">
      <c r="A2" s="23">
        <v>44470</v>
      </c>
      <c r="B2" s="190">
        <v>3634</v>
      </c>
      <c r="C2" s="189">
        <v>30</v>
      </c>
      <c r="D2" s="189">
        <v>1</v>
      </c>
      <c r="E2" s="189">
        <v>0</v>
      </c>
      <c r="H2" t="s">
        <v>193</v>
      </c>
    </row>
    <row r="3" spans="1:25" ht="16" x14ac:dyDescent="0.2">
      <c r="A3" s="23">
        <v>44501</v>
      </c>
      <c r="B3" s="190">
        <v>4550</v>
      </c>
      <c r="C3" s="189">
        <v>40</v>
      </c>
      <c r="D3" s="189">
        <v>0</v>
      </c>
      <c r="E3" s="189">
        <v>1</v>
      </c>
      <c r="H3" t="s">
        <v>192</v>
      </c>
    </row>
    <row r="4" spans="1:25" ht="16" x14ac:dyDescent="0.2">
      <c r="A4" s="23">
        <v>44531</v>
      </c>
      <c r="B4" s="192">
        <v>5330</v>
      </c>
      <c r="C4" s="189">
        <v>55</v>
      </c>
      <c r="D4" s="189">
        <v>1</v>
      </c>
      <c r="E4" s="189">
        <v>0</v>
      </c>
      <c r="T4" s="191"/>
      <c r="U4" s="191"/>
    </row>
    <row r="5" spans="1:25" ht="16" x14ac:dyDescent="0.2">
      <c r="A5" s="23">
        <v>44562</v>
      </c>
      <c r="B5" s="190">
        <v>3100</v>
      </c>
      <c r="C5" s="189">
        <v>30</v>
      </c>
      <c r="D5" s="189">
        <v>0</v>
      </c>
      <c r="E5" s="189">
        <v>1</v>
      </c>
      <c r="H5" t="s">
        <v>191</v>
      </c>
      <c r="J5" s="191"/>
      <c r="K5" s="191"/>
    </row>
    <row r="6" spans="1:25" ht="16" x14ac:dyDescent="0.2">
      <c r="A6" s="23">
        <v>44593</v>
      </c>
      <c r="B6" s="190">
        <v>2999</v>
      </c>
      <c r="C6" s="189">
        <v>30</v>
      </c>
      <c r="D6" s="189">
        <v>0</v>
      </c>
      <c r="E6" s="189">
        <v>1</v>
      </c>
      <c r="H6" t="s">
        <v>190</v>
      </c>
    </row>
    <row r="7" spans="1:25" ht="16" x14ac:dyDescent="0.2">
      <c r="A7" s="23">
        <v>44621</v>
      </c>
      <c r="B7" s="190">
        <v>3051</v>
      </c>
      <c r="C7" s="189">
        <v>35</v>
      </c>
      <c r="D7" s="189">
        <v>1</v>
      </c>
      <c r="E7" s="189">
        <v>0</v>
      </c>
      <c r="H7" t="s">
        <v>189</v>
      </c>
    </row>
    <row r="8" spans="1:25" ht="16" x14ac:dyDescent="0.2">
      <c r="A8" s="23">
        <v>44652</v>
      </c>
      <c r="B8" s="190">
        <v>3753</v>
      </c>
      <c r="C8" s="189">
        <v>35</v>
      </c>
      <c r="D8" s="189">
        <v>0</v>
      </c>
      <c r="E8" s="189">
        <v>1</v>
      </c>
    </row>
    <row r="9" spans="1:25" ht="16" x14ac:dyDescent="0.2">
      <c r="A9" s="23">
        <v>44682</v>
      </c>
      <c r="B9" s="190">
        <v>3709</v>
      </c>
      <c r="C9" s="189">
        <v>35</v>
      </c>
      <c r="D9" s="189">
        <v>0</v>
      </c>
      <c r="E9" s="189">
        <v>1</v>
      </c>
    </row>
    <row r="10" spans="1:25" ht="16" x14ac:dyDescent="0.2">
      <c r="A10" s="23">
        <v>44713</v>
      </c>
      <c r="B10" s="190">
        <v>3930</v>
      </c>
      <c r="C10" s="189">
        <v>40</v>
      </c>
      <c r="D10" s="189">
        <v>1</v>
      </c>
      <c r="E10" s="189">
        <v>0</v>
      </c>
    </row>
    <row r="11" spans="1:25" ht="16" x14ac:dyDescent="0.2">
      <c r="A11" s="23">
        <v>44743</v>
      </c>
      <c r="B11" s="190">
        <v>2949</v>
      </c>
      <c r="C11" s="189">
        <v>40</v>
      </c>
      <c r="D11" s="189">
        <v>0</v>
      </c>
      <c r="E11" s="189">
        <v>1</v>
      </c>
    </row>
    <row r="12" spans="1:25" ht="16" x14ac:dyDescent="0.2">
      <c r="A12" s="23">
        <v>44774</v>
      </c>
      <c r="B12" s="190">
        <v>3348</v>
      </c>
      <c r="C12" s="189">
        <v>45</v>
      </c>
      <c r="D12" s="189">
        <v>0</v>
      </c>
      <c r="E12" s="189">
        <v>1</v>
      </c>
      <c r="T12" s="188"/>
      <c r="U12" s="188"/>
      <c r="V12" s="188"/>
      <c r="W12" s="188"/>
      <c r="X12" s="188"/>
      <c r="Y12" s="188"/>
    </row>
    <row r="13" spans="1:25" ht="16" x14ac:dyDescent="0.2">
      <c r="A13" s="23">
        <v>44805</v>
      </c>
      <c r="B13" s="190">
        <v>3400</v>
      </c>
      <c r="C13" s="189">
        <v>40</v>
      </c>
      <c r="D13" s="189">
        <v>0</v>
      </c>
      <c r="E13" s="189">
        <v>1</v>
      </c>
      <c r="J13" s="188"/>
      <c r="K13" s="188"/>
      <c r="L13" s="188"/>
      <c r="M13" s="188"/>
      <c r="N13" s="188"/>
      <c r="O13" s="188"/>
    </row>
    <row r="14" spans="1:25" ht="16" x14ac:dyDescent="0.2">
      <c r="A14" s="23">
        <v>44835</v>
      </c>
      <c r="B14" s="190">
        <v>4400</v>
      </c>
      <c r="C14" s="189">
        <v>55</v>
      </c>
      <c r="D14" s="189">
        <v>1</v>
      </c>
      <c r="E14" s="189">
        <v>0</v>
      </c>
    </row>
    <row r="15" spans="1:25" ht="16" x14ac:dyDescent="0.2">
      <c r="A15" s="23">
        <v>44866</v>
      </c>
      <c r="B15" s="190">
        <v>5079</v>
      </c>
      <c r="C15" s="189">
        <v>55</v>
      </c>
      <c r="D15" s="189">
        <v>1</v>
      </c>
      <c r="E15" s="189">
        <v>0</v>
      </c>
    </row>
    <row r="16" spans="1:25" ht="16" x14ac:dyDescent="0.2">
      <c r="A16" s="23">
        <v>44896</v>
      </c>
      <c r="B16" s="190">
        <v>6087</v>
      </c>
      <c r="C16" s="189">
        <v>60</v>
      </c>
      <c r="D16" s="189">
        <v>1</v>
      </c>
      <c r="E16" s="189">
        <v>0</v>
      </c>
    </row>
    <row r="17" spans="1:28" x14ac:dyDescent="0.2">
      <c r="A17" s="23">
        <v>44927</v>
      </c>
      <c r="B17">
        <f>$I$38+($I$39*C17)+($I$40*D17)</f>
        <v>1949.7956204379564</v>
      </c>
      <c r="C17" s="187">
        <v>15</v>
      </c>
      <c r="D17" s="187">
        <v>0</v>
      </c>
      <c r="E17" s="187">
        <v>1</v>
      </c>
      <c r="H17" t="s">
        <v>188</v>
      </c>
      <c r="T17" s="188"/>
      <c r="U17" s="188"/>
      <c r="V17" s="188"/>
      <c r="W17" s="188"/>
      <c r="X17" s="188"/>
      <c r="Y17" s="188"/>
      <c r="Z17" s="188"/>
      <c r="AA17" s="188"/>
      <c r="AB17" s="188"/>
    </row>
    <row r="18" spans="1:28" x14ac:dyDescent="0.2">
      <c r="A18" s="23">
        <v>44958</v>
      </c>
      <c r="B18">
        <f t="shared" ref="B18:B28" si="0">$I$38+($I$39*C18)+($I$40*D18)</f>
        <v>2298.6423357664235</v>
      </c>
      <c r="C18" s="187">
        <v>20</v>
      </c>
      <c r="D18" s="187">
        <v>0</v>
      </c>
      <c r="E18" s="187">
        <v>1</v>
      </c>
      <c r="J18" s="188"/>
      <c r="K18" s="188"/>
      <c r="L18" s="188"/>
      <c r="M18" s="188"/>
      <c r="N18" s="188"/>
      <c r="O18" s="188"/>
      <c r="P18" s="188"/>
      <c r="Q18" s="188"/>
      <c r="R18" s="188"/>
    </row>
    <row r="19" spans="1:28" x14ac:dyDescent="0.2">
      <c r="A19" s="23">
        <v>44986</v>
      </c>
      <c r="B19">
        <f t="shared" si="0"/>
        <v>2298.6423357664235</v>
      </c>
      <c r="C19" s="187">
        <v>20</v>
      </c>
      <c r="D19" s="187">
        <v>0</v>
      </c>
      <c r="E19" s="187">
        <v>1</v>
      </c>
    </row>
    <row r="20" spans="1:28" x14ac:dyDescent="0.2">
      <c r="A20" s="23">
        <v>45017</v>
      </c>
      <c r="B20">
        <f t="shared" si="0"/>
        <v>2647.4890510948908</v>
      </c>
      <c r="C20" s="187">
        <v>25</v>
      </c>
      <c r="D20" s="187">
        <v>0</v>
      </c>
      <c r="E20" s="187">
        <v>1</v>
      </c>
    </row>
    <row r="21" spans="1:28" x14ac:dyDescent="0.2">
      <c r="A21" s="23">
        <v>45047</v>
      </c>
      <c r="B21">
        <f t="shared" si="0"/>
        <v>2647.4890510948908</v>
      </c>
      <c r="C21" s="187">
        <v>25</v>
      </c>
      <c r="D21" s="187">
        <v>0</v>
      </c>
      <c r="E21" s="187">
        <v>1</v>
      </c>
    </row>
    <row r="22" spans="1:28" x14ac:dyDescent="0.2">
      <c r="A22" s="23">
        <v>45078</v>
      </c>
      <c r="B22">
        <f t="shared" si="0"/>
        <v>3654.3722627737229</v>
      </c>
      <c r="C22" s="187">
        <v>35</v>
      </c>
      <c r="D22" s="187">
        <v>1</v>
      </c>
      <c r="E22" s="187">
        <v>0</v>
      </c>
      <c r="H22" t="s">
        <v>164</v>
      </c>
    </row>
    <row r="23" spans="1:28" ht="16" thickBot="1" x14ac:dyDescent="0.25">
      <c r="A23" s="23">
        <v>45108</v>
      </c>
      <c r="B23">
        <f t="shared" si="0"/>
        <v>3654.3722627737229</v>
      </c>
      <c r="C23" s="187">
        <v>35</v>
      </c>
      <c r="D23" s="187">
        <v>1</v>
      </c>
      <c r="E23" s="187">
        <v>0</v>
      </c>
    </row>
    <row r="24" spans="1:28" x14ac:dyDescent="0.2">
      <c r="A24" s="23">
        <v>45139</v>
      </c>
      <c r="B24">
        <f>$I$38+($I$39*C24)+($I$40*D24)</f>
        <v>2647.4890510948908</v>
      </c>
      <c r="C24" s="187">
        <v>25</v>
      </c>
      <c r="D24" s="187">
        <v>0</v>
      </c>
      <c r="E24" s="187">
        <v>1</v>
      </c>
      <c r="H24" s="182" t="s">
        <v>165</v>
      </c>
      <c r="I24" s="182"/>
    </row>
    <row r="25" spans="1:28" x14ac:dyDescent="0.2">
      <c r="A25" s="23">
        <v>45170</v>
      </c>
      <c r="B25">
        <f t="shared" si="0"/>
        <v>2996.3357664233581</v>
      </c>
      <c r="C25" s="187">
        <v>30</v>
      </c>
      <c r="D25" s="187">
        <v>0</v>
      </c>
      <c r="E25" s="187">
        <v>1</v>
      </c>
      <c r="H25" t="s">
        <v>166</v>
      </c>
      <c r="I25">
        <v>0.84434540565369609</v>
      </c>
    </row>
    <row r="26" spans="1:28" x14ac:dyDescent="0.2">
      <c r="A26" s="23">
        <v>45200</v>
      </c>
      <c r="B26">
        <f t="shared" si="0"/>
        <v>4003.2189781021893</v>
      </c>
      <c r="C26" s="187">
        <v>40</v>
      </c>
      <c r="D26" s="187">
        <v>1</v>
      </c>
      <c r="E26" s="187">
        <v>0</v>
      </c>
      <c r="H26" t="s">
        <v>167</v>
      </c>
      <c r="I26">
        <v>0.71291916404850464</v>
      </c>
    </row>
    <row r="27" spans="1:28" x14ac:dyDescent="0.2">
      <c r="A27" s="23">
        <v>45231</v>
      </c>
      <c r="B27">
        <f t="shared" si="0"/>
        <v>4003.2189781021893</v>
      </c>
      <c r="C27" s="187">
        <v>40</v>
      </c>
      <c r="D27" s="187">
        <v>1</v>
      </c>
      <c r="E27" s="187">
        <v>0</v>
      </c>
      <c r="H27" t="s">
        <v>168</v>
      </c>
      <c r="I27">
        <v>0.66507235805658871</v>
      </c>
    </row>
    <row r="28" spans="1:28" x14ac:dyDescent="0.2">
      <c r="A28" s="23">
        <v>45261</v>
      </c>
      <c r="B28">
        <f t="shared" si="0"/>
        <v>4352.0656934306571</v>
      </c>
      <c r="C28" s="187">
        <v>45</v>
      </c>
      <c r="D28" s="187">
        <v>1</v>
      </c>
      <c r="E28" s="187">
        <v>0</v>
      </c>
      <c r="H28" t="s">
        <v>169</v>
      </c>
      <c r="I28">
        <v>549.18651186779721</v>
      </c>
    </row>
    <row r="29" spans="1:28" ht="17" thickBot="1" x14ac:dyDescent="0.25">
      <c r="A29" s="186"/>
      <c r="H29" s="180" t="s">
        <v>170</v>
      </c>
      <c r="I29" s="180">
        <v>15</v>
      </c>
    </row>
    <row r="30" spans="1:28" ht="16" x14ac:dyDescent="0.2">
      <c r="A30" s="186"/>
    </row>
    <row r="31" spans="1:28" ht="17" thickBot="1" x14ac:dyDescent="0.25">
      <c r="A31" s="186"/>
      <c r="H31" t="s">
        <v>171</v>
      </c>
    </row>
    <row r="32" spans="1:28" ht="16" x14ac:dyDescent="0.2">
      <c r="A32" s="186"/>
      <c r="B32">
        <f>SUM(B17:B28)</f>
        <v>37153.131386861307</v>
      </c>
      <c r="H32" s="181"/>
      <c r="I32" s="181" t="s">
        <v>176</v>
      </c>
      <c r="J32" s="181" t="s">
        <v>177</v>
      </c>
      <c r="K32" s="181" t="s">
        <v>178</v>
      </c>
      <c r="L32" s="181" t="s">
        <v>179</v>
      </c>
      <c r="M32" s="181" t="s">
        <v>180</v>
      </c>
    </row>
    <row r="33" spans="1:16" ht="16" x14ac:dyDescent="0.2">
      <c r="A33" s="186"/>
      <c r="H33" t="s">
        <v>172</v>
      </c>
      <c r="I33">
        <v>2</v>
      </c>
      <c r="J33">
        <v>8987875.7021897845</v>
      </c>
      <c r="K33">
        <v>4493937.8510948922</v>
      </c>
      <c r="L33">
        <v>14.900036674735569</v>
      </c>
      <c r="M33">
        <v>5.5979009935484966E-4</v>
      </c>
    </row>
    <row r="34" spans="1:16" ht="16" x14ac:dyDescent="0.2">
      <c r="A34" s="186"/>
      <c r="H34" t="s">
        <v>173</v>
      </c>
      <c r="I34">
        <v>12</v>
      </c>
      <c r="J34">
        <v>3619269.8978102179</v>
      </c>
      <c r="K34">
        <v>301605.82481751818</v>
      </c>
    </row>
    <row r="35" spans="1:16" ht="17" thickBot="1" x14ac:dyDescent="0.25">
      <c r="A35" s="186"/>
      <c r="H35" s="180" t="s">
        <v>174</v>
      </c>
      <c r="I35" s="180">
        <v>14</v>
      </c>
      <c r="J35" s="180">
        <v>12607145.600000001</v>
      </c>
      <c r="K35" s="180"/>
      <c r="L35" s="180"/>
      <c r="M35" s="180"/>
    </row>
    <row r="36" spans="1:16" ht="17" thickBot="1" x14ac:dyDescent="0.25">
      <c r="A36" s="186"/>
    </row>
    <row r="37" spans="1:16" ht="16" x14ac:dyDescent="0.2">
      <c r="A37" s="186"/>
      <c r="H37" s="181"/>
      <c r="I37" s="181" t="s">
        <v>181</v>
      </c>
      <c r="J37" s="181" t="s">
        <v>169</v>
      </c>
      <c r="K37" s="181" t="s">
        <v>182</v>
      </c>
      <c r="L37" s="181" t="s">
        <v>183</v>
      </c>
      <c r="M37" s="181" t="s">
        <v>184</v>
      </c>
      <c r="N37" s="181" t="s">
        <v>185</v>
      </c>
      <c r="O37" s="181" t="s">
        <v>186</v>
      </c>
      <c r="P37" s="181" t="s">
        <v>187</v>
      </c>
    </row>
    <row r="38" spans="1:16" ht="17" thickBot="1" x14ac:dyDescent="0.25">
      <c r="A38" s="185"/>
      <c r="H38" t="s">
        <v>175</v>
      </c>
      <c r="I38">
        <v>903.25547445255484</v>
      </c>
      <c r="J38">
        <v>657.37505687375108</v>
      </c>
      <c r="K38">
        <v>1.374033688999589</v>
      </c>
      <c r="L38">
        <v>0.19455224541050917</v>
      </c>
      <c r="M38">
        <v>-529.04173336719805</v>
      </c>
      <c r="N38">
        <v>2335.5526822723077</v>
      </c>
      <c r="O38">
        <v>-529.04173336719805</v>
      </c>
      <c r="P38">
        <v>2335.5526822723077</v>
      </c>
    </row>
    <row r="39" spans="1:16" x14ac:dyDescent="0.2">
      <c r="H39" t="s">
        <v>197</v>
      </c>
      <c r="I39">
        <v>69.769343065693434</v>
      </c>
      <c r="J39">
        <v>17.031744256094214</v>
      </c>
      <c r="K39">
        <v>4.096429703066315</v>
      </c>
      <c r="L39">
        <v>1.4817973987759081E-3</v>
      </c>
      <c r="M39">
        <v>32.660360168904234</v>
      </c>
      <c r="N39">
        <v>106.87832596248263</v>
      </c>
      <c r="O39">
        <v>32.660360168904234</v>
      </c>
      <c r="P39">
        <v>106.87832596248263</v>
      </c>
    </row>
    <row r="40" spans="1:16" ht="16" thickBot="1" x14ac:dyDescent="0.25">
      <c r="H40" s="180" t="s">
        <v>196</v>
      </c>
      <c r="I40" s="180">
        <v>309.1897810218976</v>
      </c>
      <c r="J40" s="180">
        <v>333.72162042817166</v>
      </c>
      <c r="K40" s="180">
        <v>0.92649011060536257</v>
      </c>
      <c r="L40" s="180">
        <v>0.37245001484419493</v>
      </c>
      <c r="M40" s="180">
        <v>-417.9271671043399</v>
      </c>
      <c r="N40" s="180">
        <v>1036.3067291481352</v>
      </c>
      <c r="O40" s="180">
        <v>-417.9271671043399</v>
      </c>
      <c r="P40" s="180">
        <v>1036.3067291481352</v>
      </c>
    </row>
    <row r="43" spans="1:16" x14ac:dyDescent="0.2">
      <c r="I43" t="s">
        <v>211</v>
      </c>
    </row>
    <row r="44" spans="1:16" x14ac:dyDescent="0.2">
      <c r="I44" t="s">
        <v>212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3900DDC-B567-9440-B7BD-2AA8624034A9}">
  <dimension ref="A1:N75"/>
  <sheetViews>
    <sheetView topLeftCell="A25" zoomScale="93" zoomScaleNormal="100" workbookViewId="0">
      <selection activeCell="N50" sqref="N50"/>
    </sheetView>
  </sheetViews>
  <sheetFormatPr baseColWidth="10" defaultColWidth="8.83203125" defaultRowHeight="15" x14ac:dyDescent="0.2"/>
  <cols>
    <col min="1" max="1" width="25.1640625" bestFit="1" customWidth="1"/>
    <col min="2" max="13" width="13.5" customWidth="1"/>
    <col min="14" max="14" width="14.5" bestFit="1" customWidth="1"/>
  </cols>
  <sheetData>
    <row r="1" spans="1:14" x14ac:dyDescent="0.2">
      <c r="A1" s="28" t="s">
        <v>200</v>
      </c>
      <c r="B1" s="237" t="s">
        <v>113</v>
      </c>
      <c r="C1" s="237"/>
      <c r="D1" s="238"/>
      <c r="E1" s="68" t="s">
        <v>199</v>
      </c>
      <c r="F1" s="68"/>
      <c r="G1" s="197"/>
    </row>
    <row r="2" spans="1:14" x14ac:dyDescent="0.2">
      <c r="A2" s="56" t="s">
        <v>198</v>
      </c>
      <c r="B2" s="237"/>
      <c r="C2" s="237"/>
      <c r="D2" s="238"/>
      <c r="E2" s="26"/>
      <c r="F2" s="26"/>
      <c r="G2" s="196"/>
    </row>
    <row r="3" spans="1:14" ht="16" thickBot="1" x14ac:dyDescent="0.25">
      <c r="A3" s="28" t="s">
        <v>44</v>
      </c>
    </row>
    <row r="4" spans="1:14" x14ac:dyDescent="0.2">
      <c r="A4" s="62" t="s">
        <v>7</v>
      </c>
      <c r="B4" s="60">
        <v>44927</v>
      </c>
      <c r="C4" s="60">
        <v>44958</v>
      </c>
      <c r="D4" s="60">
        <v>44986</v>
      </c>
      <c r="E4" s="60">
        <v>45017</v>
      </c>
      <c r="F4" s="60">
        <v>45047</v>
      </c>
      <c r="G4" s="60">
        <v>45078</v>
      </c>
      <c r="H4" s="60">
        <v>45108</v>
      </c>
      <c r="I4" s="60">
        <v>45139</v>
      </c>
      <c r="J4" s="60">
        <v>45170</v>
      </c>
      <c r="K4" s="60">
        <v>45200</v>
      </c>
      <c r="L4" s="60">
        <v>45231</v>
      </c>
      <c r="M4" s="60">
        <v>45261</v>
      </c>
      <c r="N4" s="70" t="s">
        <v>96</v>
      </c>
    </row>
    <row r="5" spans="1:14" x14ac:dyDescent="0.2">
      <c r="A5" s="30" t="s">
        <v>38</v>
      </c>
      <c r="B5" s="74">
        <f>'Food Truck Demand'!B17</f>
        <v>1949.7956204379564</v>
      </c>
      <c r="C5" s="74">
        <f>'Food Truck Demand'!B18</f>
        <v>2298.6423357664235</v>
      </c>
      <c r="D5" s="74">
        <f>'Food Truck Demand'!B19</f>
        <v>2298.6423357664235</v>
      </c>
      <c r="E5" s="74">
        <f>'Food Truck Demand'!B20</f>
        <v>2647.4890510948908</v>
      </c>
      <c r="F5" s="74">
        <f>'Food Truck Demand'!B21</f>
        <v>2647.4890510948908</v>
      </c>
      <c r="G5" s="74">
        <f>'Food Truck Demand'!B22</f>
        <v>3654.3722627737229</v>
      </c>
      <c r="H5" s="74">
        <f>'Food Truck Demand'!B23</f>
        <v>3654.3722627737229</v>
      </c>
      <c r="I5" s="74">
        <f>'Food Truck Demand'!B24</f>
        <v>2647.4890510948908</v>
      </c>
      <c r="J5" s="74">
        <f>'Food Truck Demand'!B25</f>
        <v>2996.3357664233581</v>
      </c>
      <c r="K5" s="74">
        <f>'Food Truck Demand'!B26</f>
        <v>4003.2189781021893</v>
      </c>
      <c r="L5" s="74">
        <f>'Food Truck Demand'!B27</f>
        <v>4003.2189781021893</v>
      </c>
      <c r="M5" s="74">
        <f>'Food Truck Demand'!B28</f>
        <v>4352.0656934306571</v>
      </c>
      <c r="N5" s="71">
        <f>SUM(B5:M5)</f>
        <v>37153.131386861307</v>
      </c>
    </row>
    <row r="6" spans="1:14" x14ac:dyDescent="0.2">
      <c r="A6" s="30" t="s">
        <v>45</v>
      </c>
      <c r="B6" s="74">
        <f>B5</f>
        <v>1949.7956204379564</v>
      </c>
      <c r="C6" s="74">
        <f t="shared" ref="C6:M6" si="0">C5</f>
        <v>2298.6423357664235</v>
      </c>
      <c r="D6" s="74">
        <f t="shared" si="0"/>
        <v>2298.6423357664235</v>
      </c>
      <c r="E6" s="74">
        <f t="shared" si="0"/>
        <v>2647.4890510948908</v>
      </c>
      <c r="F6" s="74">
        <f t="shared" si="0"/>
        <v>2647.4890510948908</v>
      </c>
      <c r="G6" s="74">
        <f t="shared" si="0"/>
        <v>3654.3722627737229</v>
      </c>
      <c r="H6" s="74">
        <f t="shared" si="0"/>
        <v>3654.3722627737229</v>
      </c>
      <c r="I6" s="74">
        <f t="shared" si="0"/>
        <v>2647.4890510948908</v>
      </c>
      <c r="J6" s="74">
        <f t="shared" si="0"/>
        <v>2996.3357664233581</v>
      </c>
      <c r="K6" s="74">
        <f t="shared" si="0"/>
        <v>4003.2189781021893</v>
      </c>
      <c r="L6" s="74">
        <f t="shared" si="0"/>
        <v>4003.2189781021893</v>
      </c>
      <c r="M6" s="74">
        <f t="shared" si="0"/>
        <v>4352.0656934306571</v>
      </c>
      <c r="N6" s="71">
        <f t="shared" ref="N6:N8" si="1">SUM(B6:M6)</f>
        <v>37153.131386861307</v>
      </c>
    </row>
    <row r="7" spans="1:14" x14ac:dyDescent="0.2">
      <c r="A7" s="30" t="s">
        <v>46</v>
      </c>
      <c r="B7" s="74">
        <v>0</v>
      </c>
      <c r="C7" s="74">
        <v>0</v>
      </c>
      <c r="D7" s="74">
        <v>0</v>
      </c>
      <c r="E7" s="74">
        <v>0</v>
      </c>
      <c r="F7" s="74">
        <v>0</v>
      </c>
      <c r="G7" s="74">
        <v>0</v>
      </c>
      <c r="H7" s="74">
        <v>0</v>
      </c>
      <c r="I7" s="74">
        <v>0</v>
      </c>
      <c r="J7" s="74">
        <v>0</v>
      </c>
      <c r="K7" s="74">
        <v>0</v>
      </c>
      <c r="L7" s="74">
        <v>0</v>
      </c>
      <c r="M7" s="74">
        <v>0</v>
      </c>
      <c r="N7" s="71">
        <f t="shared" si="1"/>
        <v>0</v>
      </c>
    </row>
    <row r="8" spans="1:14" x14ac:dyDescent="0.2">
      <c r="A8" s="31" t="s">
        <v>47</v>
      </c>
      <c r="B8" s="74">
        <v>0</v>
      </c>
      <c r="C8" s="74">
        <v>0</v>
      </c>
      <c r="D8" s="74">
        <v>0</v>
      </c>
      <c r="E8" s="74">
        <v>0</v>
      </c>
      <c r="F8" s="74">
        <v>0</v>
      </c>
      <c r="G8" s="74">
        <v>0</v>
      </c>
      <c r="H8" s="74">
        <v>0</v>
      </c>
      <c r="I8" s="74">
        <v>0</v>
      </c>
      <c r="J8" s="74">
        <v>0</v>
      </c>
      <c r="K8" s="74">
        <v>0</v>
      </c>
      <c r="L8" s="74">
        <v>0</v>
      </c>
      <c r="M8" s="74">
        <v>0</v>
      </c>
      <c r="N8" s="71">
        <f t="shared" si="1"/>
        <v>0</v>
      </c>
    </row>
    <row r="9" spans="1:14" x14ac:dyDescent="0.2">
      <c r="A9" s="63" t="s">
        <v>48</v>
      </c>
      <c r="B9" s="76"/>
      <c r="C9" s="76"/>
      <c r="D9" s="76"/>
      <c r="E9" s="76"/>
      <c r="F9" s="76"/>
      <c r="G9" s="76"/>
      <c r="H9" s="76"/>
      <c r="I9" s="76"/>
      <c r="J9" s="76"/>
      <c r="K9" s="76"/>
      <c r="L9" s="76"/>
      <c r="M9" s="76"/>
      <c r="N9" s="71"/>
    </row>
    <row r="10" spans="1:14" x14ac:dyDescent="0.2">
      <c r="A10" s="30" t="s">
        <v>49</v>
      </c>
      <c r="B10" s="74">
        <f>B5*2.99</f>
        <v>5829.8889051094902</v>
      </c>
      <c r="C10" s="74">
        <f t="shared" ref="C10:M10" si="2">C5*2.99</f>
        <v>6872.9405839416067</v>
      </c>
      <c r="D10" s="74">
        <f t="shared" si="2"/>
        <v>6872.9405839416067</v>
      </c>
      <c r="E10" s="74">
        <f t="shared" si="2"/>
        <v>7915.9922627737242</v>
      </c>
      <c r="F10" s="74">
        <f t="shared" si="2"/>
        <v>7915.9922627737242</v>
      </c>
      <c r="G10" s="74">
        <f t="shared" si="2"/>
        <v>10926.573065693432</v>
      </c>
      <c r="H10" s="74">
        <f t="shared" si="2"/>
        <v>10926.573065693432</v>
      </c>
      <c r="I10" s="74">
        <f t="shared" si="2"/>
        <v>7915.9922627737242</v>
      </c>
      <c r="J10" s="74">
        <f t="shared" si="2"/>
        <v>8959.0439416058416</v>
      </c>
      <c r="K10" s="74">
        <f t="shared" si="2"/>
        <v>11969.624744525547</v>
      </c>
      <c r="L10" s="74">
        <f t="shared" si="2"/>
        <v>11969.624744525547</v>
      </c>
      <c r="M10" s="74">
        <f t="shared" si="2"/>
        <v>13012.676423357665</v>
      </c>
      <c r="N10" s="72">
        <f>SUM(B10:M10)</f>
        <v>111087.86284671533</v>
      </c>
    </row>
    <row r="11" spans="1:14" x14ac:dyDescent="0.2">
      <c r="A11" s="30" t="s">
        <v>50</v>
      </c>
      <c r="B11" s="74">
        <f>B5*2.5</f>
        <v>4874.4890510948908</v>
      </c>
      <c r="C11" s="74">
        <f t="shared" ref="C11:M11" si="3">C5*2.5</f>
        <v>5746.6058394160591</v>
      </c>
      <c r="D11" s="74">
        <f t="shared" si="3"/>
        <v>5746.6058394160591</v>
      </c>
      <c r="E11" s="74">
        <f t="shared" si="3"/>
        <v>6618.7226277372265</v>
      </c>
      <c r="F11" s="74">
        <f t="shared" si="3"/>
        <v>6618.7226277372265</v>
      </c>
      <c r="G11" s="74">
        <f t="shared" si="3"/>
        <v>9135.930656934308</v>
      </c>
      <c r="H11" s="74">
        <f t="shared" si="3"/>
        <v>9135.930656934308</v>
      </c>
      <c r="I11" s="74">
        <f t="shared" si="3"/>
        <v>6618.7226277372265</v>
      </c>
      <c r="J11" s="74">
        <f t="shared" si="3"/>
        <v>7490.8394160583957</v>
      </c>
      <c r="K11" s="74">
        <f t="shared" si="3"/>
        <v>10008.047445255474</v>
      </c>
      <c r="L11" s="74">
        <f t="shared" si="3"/>
        <v>10008.047445255474</v>
      </c>
      <c r="M11" s="74">
        <f t="shared" si="3"/>
        <v>10880.164233576643</v>
      </c>
      <c r="N11" s="72">
        <f t="shared" ref="N11:N25" si="4">SUM(B11:M11)</f>
        <v>92882.828467153289</v>
      </c>
    </row>
    <row r="12" spans="1:14" ht="16" thickBot="1" x14ac:dyDescent="0.25">
      <c r="A12" s="30" t="s">
        <v>51</v>
      </c>
      <c r="B12" s="77">
        <v>0</v>
      </c>
      <c r="C12" s="77">
        <v>0</v>
      </c>
      <c r="D12" s="77">
        <v>0</v>
      </c>
      <c r="E12" s="77">
        <v>0</v>
      </c>
      <c r="F12" s="77">
        <v>0</v>
      </c>
      <c r="G12" s="77">
        <v>0</v>
      </c>
      <c r="H12" s="77">
        <v>0</v>
      </c>
      <c r="I12" s="77">
        <v>0</v>
      </c>
      <c r="J12" s="77">
        <v>0</v>
      </c>
      <c r="K12" s="77">
        <v>0</v>
      </c>
      <c r="L12" s="77">
        <v>0</v>
      </c>
      <c r="M12" s="77">
        <v>0</v>
      </c>
      <c r="N12" s="72">
        <f t="shared" si="4"/>
        <v>0</v>
      </c>
    </row>
    <row r="13" spans="1:14" ht="16" thickTop="1" x14ac:dyDescent="0.2">
      <c r="A13" s="64" t="s">
        <v>52</v>
      </c>
      <c r="B13" s="75">
        <f>SUM(B10:B12)</f>
        <v>10704.377956204382</v>
      </c>
      <c r="C13" s="75">
        <f t="shared" ref="C13:M13" si="5">SUM(C10:C12)</f>
        <v>12619.546423357666</v>
      </c>
      <c r="D13" s="75">
        <f t="shared" si="5"/>
        <v>12619.546423357666</v>
      </c>
      <c r="E13" s="75">
        <f t="shared" si="5"/>
        <v>14534.71489051095</v>
      </c>
      <c r="F13" s="75">
        <f t="shared" si="5"/>
        <v>14534.71489051095</v>
      </c>
      <c r="G13" s="75">
        <f t="shared" si="5"/>
        <v>20062.503722627742</v>
      </c>
      <c r="H13" s="75">
        <f t="shared" si="5"/>
        <v>20062.503722627742</v>
      </c>
      <c r="I13" s="75">
        <f t="shared" si="5"/>
        <v>14534.71489051095</v>
      </c>
      <c r="J13" s="75">
        <f t="shared" si="5"/>
        <v>16449.883357664236</v>
      </c>
      <c r="K13" s="75">
        <f t="shared" si="5"/>
        <v>21977.67218978102</v>
      </c>
      <c r="L13" s="75">
        <f t="shared" si="5"/>
        <v>21977.67218978102</v>
      </c>
      <c r="M13" s="75">
        <f t="shared" si="5"/>
        <v>23892.840656934306</v>
      </c>
      <c r="N13" s="72">
        <f>SUM(B13:M13)</f>
        <v>203970.69131386868</v>
      </c>
    </row>
    <row r="14" spans="1:14" x14ac:dyDescent="0.2">
      <c r="A14" s="65" t="s">
        <v>53</v>
      </c>
      <c r="B14" s="76"/>
      <c r="C14" s="76"/>
      <c r="D14" s="76"/>
      <c r="E14" s="76"/>
      <c r="F14" s="76"/>
      <c r="G14" s="76"/>
      <c r="H14" s="76"/>
      <c r="I14" s="76"/>
      <c r="J14" s="76"/>
      <c r="K14" s="76"/>
      <c r="L14" s="76"/>
      <c r="M14" s="76"/>
      <c r="N14" s="72"/>
    </row>
    <row r="15" spans="1:14" x14ac:dyDescent="0.2">
      <c r="A15" s="30" t="s">
        <v>54</v>
      </c>
      <c r="B15" s="74">
        <v>5045</v>
      </c>
      <c r="C15" s="74">
        <v>5045</v>
      </c>
      <c r="D15" s="74">
        <v>5045</v>
      </c>
      <c r="E15" s="74">
        <v>5045</v>
      </c>
      <c r="F15" s="74">
        <v>5045</v>
      </c>
      <c r="G15" s="74">
        <v>5045</v>
      </c>
      <c r="H15" s="74">
        <v>5045</v>
      </c>
      <c r="I15" s="74">
        <v>5045</v>
      </c>
      <c r="J15" s="74">
        <v>5045</v>
      </c>
      <c r="K15" s="74">
        <v>5045</v>
      </c>
      <c r="L15" s="74">
        <v>5045</v>
      </c>
      <c r="M15" s="74">
        <v>5045</v>
      </c>
      <c r="N15" s="72">
        <f t="shared" si="4"/>
        <v>60540</v>
      </c>
    </row>
    <row r="16" spans="1:14" x14ac:dyDescent="0.2">
      <c r="A16" s="58" t="s">
        <v>55</v>
      </c>
      <c r="B16" s="74">
        <v>5045</v>
      </c>
      <c r="C16" s="74">
        <v>5045</v>
      </c>
      <c r="D16" s="74">
        <v>5045</v>
      </c>
      <c r="E16" s="74">
        <v>5045</v>
      </c>
      <c r="F16" s="74">
        <v>5045</v>
      </c>
      <c r="G16" s="74">
        <v>5045</v>
      </c>
      <c r="H16" s="74">
        <v>5045</v>
      </c>
      <c r="I16" s="74">
        <v>5045</v>
      </c>
      <c r="J16" s="74">
        <v>5045</v>
      </c>
      <c r="K16" s="74">
        <v>5045</v>
      </c>
      <c r="L16" s="74">
        <v>5045</v>
      </c>
      <c r="M16" s="74">
        <v>5045</v>
      </c>
      <c r="N16" s="72">
        <f t="shared" si="4"/>
        <v>60540</v>
      </c>
    </row>
    <row r="17" spans="1:14" x14ac:dyDescent="0.2">
      <c r="A17" s="30"/>
      <c r="B17" s="74"/>
      <c r="C17" s="74"/>
      <c r="D17" s="74"/>
      <c r="E17" s="74"/>
      <c r="F17" s="74"/>
      <c r="G17" s="74"/>
      <c r="H17" s="74"/>
      <c r="I17" s="74"/>
      <c r="J17" s="74"/>
      <c r="K17" s="74"/>
      <c r="L17" s="74"/>
      <c r="M17" s="74"/>
      <c r="N17" s="72"/>
    </row>
    <row r="18" spans="1:14" x14ac:dyDescent="0.2">
      <c r="A18" s="30" t="s">
        <v>56</v>
      </c>
      <c r="B18" s="74"/>
      <c r="C18" s="74"/>
      <c r="D18" s="74"/>
      <c r="E18" s="74"/>
      <c r="F18" s="74"/>
      <c r="G18" s="74"/>
      <c r="H18" s="74"/>
      <c r="I18" s="74"/>
      <c r="J18" s="74"/>
      <c r="K18" s="74"/>
      <c r="L18" s="74"/>
      <c r="M18" s="74"/>
      <c r="N18" s="72"/>
    </row>
    <row r="19" spans="1:14" x14ac:dyDescent="0.2">
      <c r="A19" s="30" t="s">
        <v>57</v>
      </c>
      <c r="B19" s="74">
        <f>B5*0.5</f>
        <v>974.89781021897818</v>
      </c>
      <c r="C19" s="74">
        <f t="shared" ref="C19:M19" si="6">C5*0.5</f>
        <v>1149.3211678832117</v>
      </c>
      <c r="D19" s="74">
        <f t="shared" si="6"/>
        <v>1149.3211678832117</v>
      </c>
      <c r="E19" s="74">
        <f t="shared" si="6"/>
        <v>1323.7445255474454</v>
      </c>
      <c r="F19" s="74">
        <f t="shared" si="6"/>
        <v>1323.7445255474454</v>
      </c>
      <c r="G19" s="74">
        <f t="shared" si="6"/>
        <v>1827.1861313868615</v>
      </c>
      <c r="H19" s="74">
        <f t="shared" si="6"/>
        <v>1827.1861313868615</v>
      </c>
      <c r="I19" s="74">
        <f t="shared" si="6"/>
        <v>1323.7445255474454</v>
      </c>
      <c r="J19" s="74">
        <f t="shared" si="6"/>
        <v>1498.1678832116791</v>
      </c>
      <c r="K19" s="74">
        <f t="shared" si="6"/>
        <v>2001.6094890510947</v>
      </c>
      <c r="L19" s="74">
        <f t="shared" si="6"/>
        <v>2001.6094890510947</v>
      </c>
      <c r="M19" s="74">
        <f t="shared" si="6"/>
        <v>2176.0328467153286</v>
      </c>
      <c r="N19" s="72">
        <f t="shared" si="4"/>
        <v>18576.565693430653</v>
      </c>
    </row>
    <row r="20" spans="1:14" x14ac:dyDescent="0.2">
      <c r="A20" s="30" t="s">
        <v>58</v>
      </c>
      <c r="B20" s="74">
        <f>B5*0.6</f>
        <v>1169.8773722627739</v>
      </c>
      <c r="C20" s="74">
        <f t="shared" ref="C20:M20" si="7">C5*0.6</f>
        <v>1379.1854014598541</v>
      </c>
      <c r="D20" s="74">
        <f t="shared" si="7"/>
        <v>1379.1854014598541</v>
      </c>
      <c r="E20" s="74">
        <f t="shared" si="7"/>
        <v>1588.4934306569344</v>
      </c>
      <c r="F20" s="74">
        <f t="shared" si="7"/>
        <v>1588.4934306569344</v>
      </c>
      <c r="G20" s="74">
        <f t="shared" si="7"/>
        <v>2192.6233576642335</v>
      </c>
      <c r="H20" s="74">
        <f t="shared" si="7"/>
        <v>2192.6233576642335</v>
      </c>
      <c r="I20" s="74">
        <f t="shared" si="7"/>
        <v>1588.4934306569344</v>
      </c>
      <c r="J20" s="74">
        <f t="shared" si="7"/>
        <v>1797.8014598540149</v>
      </c>
      <c r="K20" s="74">
        <f t="shared" si="7"/>
        <v>2401.9313868613135</v>
      </c>
      <c r="L20" s="74">
        <f t="shared" si="7"/>
        <v>2401.9313868613135</v>
      </c>
      <c r="M20" s="74">
        <f t="shared" si="7"/>
        <v>2611.239416058394</v>
      </c>
      <c r="N20" s="72">
        <f t="shared" si="4"/>
        <v>22291.878832116785</v>
      </c>
    </row>
    <row r="21" spans="1:14" x14ac:dyDescent="0.2">
      <c r="A21" s="58" t="s">
        <v>59</v>
      </c>
      <c r="B21" s="78">
        <f>SUM(B19:B20)</f>
        <v>2144.7751824817519</v>
      </c>
      <c r="C21" s="78">
        <f t="shared" ref="C21:M21" si="8">SUM(C19:C20)</f>
        <v>2528.5065693430661</v>
      </c>
      <c r="D21" s="78">
        <f t="shared" si="8"/>
        <v>2528.5065693430661</v>
      </c>
      <c r="E21" s="78">
        <f t="shared" si="8"/>
        <v>2912.2379562043798</v>
      </c>
      <c r="F21" s="78">
        <f t="shared" si="8"/>
        <v>2912.2379562043798</v>
      </c>
      <c r="G21" s="78">
        <f t="shared" si="8"/>
        <v>4019.8094890510947</v>
      </c>
      <c r="H21" s="78">
        <f t="shared" si="8"/>
        <v>4019.8094890510947</v>
      </c>
      <c r="I21" s="78">
        <f t="shared" si="8"/>
        <v>2912.2379562043798</v>
      </c>
      <c r="J21" s="78">
        <f t="shared" si="8"/>
        <v>3295.9693430656939</v>
      </c>
      <c r="K21" s="78">
        <f t="shared" si="8"/>
        <v>4403.5408759124084</v>
      </c>
      <c r="L21" s="78">
        <f t="shared" si="8"/>
        <v>4403.5408759124084</v>
      </c>
      <c r="M21" s="78">
        <f t="shared" si="8"/>
        <v>4787.2722627737221</v>
      </c>
      <c r="N21" s="72">
        <f t="shared" si="4"/>
        <v>40868.444525547449</v>
      </c>
    </row>
    <row r="22" spans="1:14" ht="16" thickBot="1" x14ac:dyDescent="0.25">
      <c r="A22" s="30" t="s">
        <v>60</v>
      </c>
      <c r="B22" s="79">
        <v>0</v>
      </c>
      <c r="C22" s="79">
        <v>0</v>
      </c>
      <c r="D22" s="79">
        <v>0</v>
      </c>
      <c r="E22" s="79">
        <v>0</v>
      </c>
      <c r="F22" s="79">
        <v>0</v>
      </c>
      <c r="G22" s="79">
        <v>0</v>
      </c>
      <c r="H22" s="79">
        <v>0</v>
      </c>
      <c r="I22" s="79">
        <v>0</v>
      </c>
      <c r="J22" s="79">
        <v>0</v>
      </c>
      <c r="K22" s="79">
        <v>0</v>
      </c>
      <c r="L22" s="79">
        <v>0</v>
      </c>
      <c r="M22" s="79">
        <v>0</v>
      </c>
      <c r="N22" s="72">
        <f t="shared" si="4"/>
        <v>0</v>
      </c>
    </row>
    <row r="23" spans="1:14" ht="16" thickTop="1" x14ac:dyDescent="0.2">
      <c r="A23" s="64" t="s">
        <v>61</v>
      </c>
      <c r="B23" s="75">
        <f>SUM(B16,B21,B22)</f>
        <v>7189.7751824817515</v>
      </c>
      <c r="C23" s="75">
        <f t="shared" ref="C23:M23" si="9">SUM(C16,C21,C22)</f>
        <v>7573.5065693430661</v>
      </c>
      <c r="D23" s="75">
        <f t="shared" si="9"/>
        <v>7573.5065693430661</v>
      </c>
      <c r="E23" s="75">
        <f t="shared" si="9"/>
        <v>7957.2379562043798</v>
      </c>
      <c r="F23" s="75">
        <f t="shared" si="9"/>
        <v>7957.2379562043798</v>
      </c>
      <c r="G23" s="75">
        <f t="shared" si="9"/>
        <v>9064.8094890510947</v>
      </c>
      <c r="H23" s="75">
        <f t="shared" si="9"/>
        <v>9064.8094890510947</v>
      </c>
      <c r="I23" s="75">
        <f t="shared" si="9"/>
        <v>7957.2379562043798</v>
      </c>
      <c r="J23" s="75">
        <f t="shared" si="9"/>
        <v>8340.9693430656935</v>
      </c>
      <c r="K23" s="75">
        <f t="shared" si="9"/>
        <v>9448.5408759124075</v>
      </c>
      <c r="L23" s="75">
        <f t="shared" si="9"/>
        <v>9448.5408759124075</v>
      </c>
      <c r="M23" s="75">
        <f t="shared" si="9"/>
        <v>9832.2722627737221</v>
      </c>
      <c r="N23" s="72">
        <f t="shared" si="4"/>
        <v>101408.44452554746</v>
      </c>
    </row>
    <row r="24" spans="1:14" ht="16" thickBot="1" x14ac:dyDescent="0.25">
      <c r="A24" s="30"/>
      <c r="B24" s="80"/>
      <c r="C24" s="80"/>
      <c r="D24" s="80"/>
      <c r="E24" s="80"/>
      <c r="F24" s="80"/>
      <c r="G24" s="80"/>
      <c r="H24" s="80"/>
      <c r="I24" s="80"/>
      <c r="J24" s="80"/>
      <c r="K24" s="80"/>
      <c r="L24" s="80"/>
      <c r="M24" s="80"/>
      <c r="N24" s="72"/>
    </row>
    <row r="25" spans="1:14" ht="17" thickTop="1" thickBot="1" x14ac:dyDescent="0.25">
      <c r="A25" s="66" t="s">
        <v>62</v>
      </c>
      <c r="B25" s="81">
        <f>B13-B23</f>
        <v>3514.6027737226304</v>
      </c>
      <c r="C25" s="81">
        <f t="shared" ref="C25:M25" si="10">C13-C23</f>
        <v>5046.0398540145998</v>
      </c>
      <c r="D25" s="81">
        <f t="shared" si="10"/>
        <v>5046.0398540145998</v>
      </c>
      <c r="E25" s="81">
        <f t="shared" si="10"/>
        <v>6577.47693430657</v>
      </c>
      <c r="F25" s="81">
        <f t="shared" si="10"/>
        <v>6577.47693430657</v>
      </c>
      <c r="G25" s="81">
        <f t="shared" si="10"/>
        <v>10997.694233576647</v>
      </c>
      <c r="H25" s="81">
        <f t="shared" si="10"/>
        <v>10997.694233576647</v>
      </c>
      <c r="I25" s="81">
        <f t="shared" si="10"/>
        <v>6577.47693430657</v>
      </c>
      <c r="J25" s="81">
        <f t="shared" si="10"/>
        <v>8108.9140145985421</v>
      </c>
      <c r="K25" s="81">
        <f t="shared" si="10"/>
        <v>12529.131313868613</v>
      </c>
      <c r="L25" s="81">
        <f t="shared" si="10"/>
        <v>12529.131313868613</v>
      </c>
      <c r="M25" s="81">
        <f t="shared" si="10"/>
        <v>14060.568394160584</v>
      </c>
      <c r="N25" s="72">
        <f t="shared" si="4"/>
        <v>102562.24678832118</v>
      </c>
    </row>
    <row r="27" spans="1:14" x14ac:dyDescent="0.2">
      <c r="A27" s="56"/>
      <c r="B27" t="s">
        <v>97</v>
      </c>
    </row>
    <row r="28" spans="1:14" ht="16" thickBot="1" x14ac:dyDescent="0.25">
      <c r="A28" s="28" t="s">
        <v>63</v>
      </c>
    </row>
    <row r="29" spans="1:14" x14ac:dyDescent="0.2">
      <c r="A29" s="62" t="s">
        <v>7</v>
      </c>
      <c r="B29" s="60">
        <f t="shared" ref="B29:M29" si="11">B4</f>
        <v>44927</v>
      </c>
      <c r="C29" s="60">
        <f t="shared" si="11"/>
        <v>44958</v>
      </c>
      <c r="D29" s="60">
        <f t="shared" si="11"/>
        <v>44986</v>
      </c>
      <c r="E29" s="60">
        <f t="shared" si="11"/>
        <v>45017</v>
      </c>
      <c r="F29" s="60">
        <f t="shared" si="11"/>
        <v>45047</v>
      </c>
      <c r="G29" s="60">
        <f t="shared" si="11"/>
        <v>45078</v>
      </c>
      <c r="H29" s="60">
        <f t="shared" si="11"/>
        <v>45108</v>
      </c>
      <c r="I29" s="60">
        <f t="shared" si="11"/>
        <v>45139</v>
      </c>
      <c r="J29" s="60">
        <f t="shared" si="11"/>
        <v>45170</v>
      </c>
      <c r="K29" s="60">
        <f t="shared" si="11"/>
        <v>45200</v>
      </c>
      <c r="L29" s="60">
        <f t="shared" si="11"/>
        <v>45231</v>
      </c>
      <c r="M29" s="60">
        <f t="shared" si="11"/>
        <v>45261</v>
      </c>
      <c r="N29" s="70" t="s">
        <v>96</v>
      </c>
    </row>
    <row r="30" spans="1:14" x14ac:dyDescent="0.2">
      <c r="A30" s="30" t="s">
        <v>38</v>
      </c>
      <c r="B30" s="74">
        <f>B5*1.05</f>
        <v>2047.2854014598543</v>
      </c>
      <c r="C30" s="74">
        <f t="shared" ref="C30:M30" si="12">C5*1.05</f>
        <v>2413.5744525547448</v>
      </c>
      <c r="D30" s="74">
        <f t="shared" si="12"/>
        <v>2413.5744525547448</v>
      </c>
      <c r="E30" s="74">
        <f t="shared" si="12"/>
        <v>2779.8635036496353</v>
      </c>
      <c r="F30" s="74">
        <f t="shared" si="12"/>
        <v>2779.8635036496353</v>
      </c>
      <c r="G30" s="74">
        <f t="shared" si="12"/>
        <v>3837.090875912409</v>
      </c>
      <c r="H30" s="74">
        <f t="shared" si="12"/>
        <v>3837.090875912409</v>
      </c>
      <c r="I30" s="74">
        <f t="shared" si="12"/>
        <v>2779.8635036496353</v>
      </c>
      <c r="J30" s="74">
        <f t="shared" si="12"/>
        <v>3146.1525547445262</v>
      </c>
      <c r="K30" s="74">
        <f t="shared" si="12"/>
        <v>4203.3799270072986</v>
      </c>
      <c r="L30" s="74">
        <f t="shared" si="12"/>
        <v>4203.3799270072986</v>
      </c>
      <c r="M30" s="74">
        <f t="shared" si="12"/>
        <v>4569.6689781021905</v>
      </c>
      <c r="N30" s="71">
        <f>SUM(B30:M30)</f>
        <v>39010.787956204382</v>
      </c>
    </row>
    <row r="31" spans="1:14" x14ac:dyDescent="0.2">
      <c r="A31" s="30" t="s">
        <v>45</v>
      </c>
      <c r="B31" s="74">
        <f>B30</f>
        <v>2047.2854014598543</v>
      </c>
      <c r="C31" s="74">
        <f t="shared" ref="C31" si="13">C30</f>
        <v>2413.5744525547448</v>
      </c>
      <c r="D31" s="74">
        <f t="shared" ref="D31" si="14">D30</f>
        <v>2413.5744525547448</v>
      </c>
      <c r="E31" s="74">
        <f t="shared" ref="E31" si="15">E30</f>
        <v>2779.8635036496353</v>
      </c>
      <c r="F31" s="74">
        <f t="shared" ref="F31" si="16">F30</f>
        <v>2779.8635036496353</v>
      </c>
      <c r="G31" s="74">
        <f t="shared" ref="G31" si="17">G30</f>
        <v>3837.090875912409</v>
      </c>
      <c r="H31" s="74">
        <f t="shared" ref="H31" si="18">H30</f>
        <v>3837.090875912409</v>
      </c>
      <c r="I31" s="74">
        <f t="shared" ref="I31" si="19">I30</f>
        <v>2779.8635036496353</v>
      </c>
      <c r="J31" s="74">
        <f t="shared" ref="J31" si="20">J30</f>
        <v>3146.1525547445262</v>
      </c>
      <c r="K31" s="74">
        <f t="shared" ref="K31" si="21">K30</f>
        <v>4203.3799270072986</v>
      </c>
      <c r="L31" s="74">
        <f t="shared" ref="L31" si="22">L30</f>
        <v>4203.3799270072986</v>
      </c>
      <c r="M31" s="74">
        <f t="shared" ref="M31" si="23">M30</f>
        <v>4569.6689781021905</v>
      </c>
      <c r="N31" s="71">
        <f t="shared" ref="N31:N33" si="24">SUM(B31:M31)</f>
        <v>39010.787956204382</v>
      </c>
    </row>
    <row r="32" spans="1:14" x14ac:dyDescent="0.2">
      <c r="A32" s="30" t="s">
        <v>46</v>
      </c>
      <c r="B32" s="74">
        <v>0</v>
      </c>
      <c r="C32" s="74">
        <v>0</v>
      </c>
      <c r="D32" s="74">
        <v>0</v>
      </c>
      <c r="E32" s="74">
        <v>0</v>
      </c>
      <c r="F32" s="74">
        <v>0</v>
      </c>
      <c r="G32" s="74">
        <v>0</v>
      </c>
      <c r="H32" s="74">
        <v>0</v>
      </c>
      <c r="I32" s="74">
        <v>0</v>
      </c>
      <c r="J32" s="74">
        <v>0</v>
      </c>
      <c r="K32" s="74">
        <v>0</v>
      </c>
      <c r="L32" s="74">
        <v>0</v>
      </c>
      <c r="M32" s="74">
        <v>0</v>
      </c>
      <c r="N32" s="71">
        <f t="shared" si="24"/>
        <v>0</v>
      </c>
    </row>
    <row r="33" spans="1:14" x14ac:dyDescent="0.2">
      <c r="A33" s="31" t="s">
        <v>47</v>
      </c>
      <c r="B33" s="74">
        <v>0</v>
      </c>
      <c r="C33" s="74">
        <v>0</v>
      </c>
      <c r="D33" s="74">
        <v>0</v>
      </c>
      <c r="E33" s="74">
        <v>0</v>
      </c>
      <c r="F33" s="74">
        <v>0</v>
      </c>
      <c r="G33" s="74">
        <v>0</v>
      </c>
      <c r="H33" s="74">
        <v>0</v>
      </c>
      <c r="I33" s="74">
        <v>0</v>
      </c>
      <c r="J33" s="74">
        <v>0</v>
      </c>
      <c r="K33" s="74">
        <v>0</v>
      </c>
      <c r="L33" s="74">
        <v>0</v>
      </c>
      <c r="M33" s="74">
        <v>0</v>
      </c>
      <c r="N33" s="71">
        <f t="shared" si="24"/>
        <v>0</v>
      </c>
    </row>
    <row r="34" spans="1:14" x14ac:dyDescent="0.2">
      <c r="A34" s="63" t="s">
        <v>48</v>
      </c>
      <c r="B34" s="76"/>
      <c r="C34" s="76"/>
      <c r="D34" s="76"/>
      <c r="E34" s="76"/>
      <c r="F34" s="76"/>
      <c r="G34" s="76"/>
      <c r="H34" s="76"/>
      <c r="I34" s="76"/>
      <c r="J34" s="76"/>
      <c r="K34" s="76"/>
      <c r="L34" s="76"/>
      <c r="M34" s="76"/>
      <c r="N34" s="71"/>
    </row>
    <row r="35" spans="1:14" x14ac:dyDescent="0.2">
      <c r="A35" s="30" t="s">
        <v>49</v>
      </c>
      <c r="B35" s="74">
        <f>B30*2.99</f>
        <v>6121.3833503649648</v>
      </c>
      <c r="C35" s="74">
        <f t="shared" ref="C35:M35" si="25">C30*2.99</f>
        <v>7216.5876131386876</v>
      </c>
      <c r="D35" s="74">
        <f t="shared" si="25"/>
        <v>7216.5876131386876</v>
      </c>
      <c r="E35" s="74">
        <f t="shared" si="25"/>
        <v>8311.7918759124095</v>
      </c>
      <c r="F35" s="74">
        <f t="shared" si="25"/>
        <v>8311.7918759124095</v>
      </c>
      <c r="G35" s="74">
        <f t="shared" si="25"/>
        <v>11472.901718978104</v>
      </c>
      <c r="H35" s="74">
        <f t="shared" si="25"/>
        <v>11472.901718978104</v>
      </c>
      <c r="I35" s="74">
        <f t="shared" si="25"/>
        <v>8311.7918759124095</v>
      </c>
      <c r="J35" s="74">
        <f t="shared" si="25"/>
        <v>9406.9961386861341</v>
      </c>
      <c r="K35" s="74">
        <f t="shared" si="25"/>
        <v>12568.105981751823</v>
      </c>
      <c r="L35" s="74">
        <f t="shared" si="25"/>
        <v>12568.105981751823</v>
      </c>
      <c r="M35" s="74">
        <f t="shared" si="25"/>
        <v>13663.31024452555</v>
      </c>
      <c r="N35" s="72">
        <f>SUM(B35:M35)</f>
        <v>116642.25598905112</v>
      </c>
    </row>
    <row r="36" spans="1:14" x14ac:dyDescent="0.2">
      <c r="A36" s="30" t="s">
        <v>50</v>
      </c>
      <c r="B36" s="74">
        <f>B30*2.5</f>
        <v>5118.2135036496356</v>
      </c>
      <c r="C36" s="74">
        <f t="shared" ref="C36:M36" si="26">C30*2.5</f>
        <v>6033.9361313868621</v>
      </c>
      <c r="D36" s="74">
        <f t="shared" si="26"/>
        <v>6033.9361313868621</v>
      </c>
      <c r="E36" s="74">
        <f t="shared" si="26"/>
        <v>6949.6587591240877</v>
      </c>
      <c r="F36" s="74">
        <f t="shared" si="26"/>
        <v>6949.6587591240877</v>
      </c>
      <c r="G36" s="74">
        <f t="shared" si="26"/>
        <v>9592.7271897810224</v>
      </c>
      <c r="H36" s="74">
        <f t="shared" si="26"/>
        <v>9592.7271897810224</v>
      </c>
      <c r="I36" s="74">
        <f t="shared" si="26"/>
        <v>6949.6587591240877</v>
      </c>
      <c r="J36" s="74">
        <f t="shared" si="26"/>
        <v>7865.3813868613161</v>
      </c>
      <c r="K36" s="74">
        <f t="shared" si="26"/>
        <v>10508.449817518247</v>
      </c>
      <c r="L36" s="74">
        <f t="shared" si="26"/>
        <v>10508.449817518247</v>
      </c>
      <c r="M36" s="74">
        <f t="shared" si="26"/>
        <v>11424.172445255477</v>
      </c>
      <c r="N36" s="72">
        <f t="shared" ref="N36:N37" si="27">SUM(B36:M36)</f>
        <v>97526.969890510954</v>
      </c>
    </row>
    <row r="37" spans="1:14" ht="16" thickBot="1" x14ac:dyDescent="0.25">
      <c r="A37" s="30" t="s">
        <v>51</v>
      </c>
      <c r="B37" s="77">
        <v>0</v>
      </c>
      <c r="C37" s="77">
        <v>0</v>
      </c>
      <c r="D37" s="77">
        <v>0</v>
      </c>
      <c r="E37" s="77">
        <v>0</v>
      </c>
      <c r="F37" s="77">
        <v>0</v>
      </c>
      <c r="G37" s="77">
        <v>0</v>
      </c>
      <c r="H37" s="77">
        <v>0</v>
      </c>
      <c r="I37" s="77">
        <v>0</v>
      </c>
      <c r="J37" s="77">
        <v>0</v>
      </c>
      <c r="K37" s="77">
        <v>0</v>
      </c>
      <c r="L37" s="77">
        <v>0</v>
      </c>
      <c r="M37" s="77">
        <v>0</v>
      </c>
      <c r="N37" s="72">
        <f t="shared" si="27"/>
        <v>0</v>
      </c>
    </row>
    <row r="38" spans="1:14" ht="16" thickTop="1" x14ac:dyDescent="0.2">
      <c r="A38" s="64" t="s">
        <v>52</v>
      </c>
      <c r="B38" s="75">
        <f>SUM(B35:B37)</f>
        <v>11239.5968540146</v>
      </c>
      <c r="C38" s="75">
        <f t="shared" ref="C38" si="28">SUM(C35:C37)</f>
        <v>13250.52374452555</v>
      </c>
      <c r="D38" s="75">
        <f t="shared" ref="D38" si="29">SUM(D35:D37)</f>
        <v>13250.52374452555</v>
      </c>
      <c r="E38" s="75">
        <f t="shared" ref="E38" si="30">SUM(E35:E37)</f>
        <v>15261.450635036497</v>
      </c>
      <c r="F38" s="75">
        <f t="shared" ref="F38" si="31">SUM(F35:F37)</f>
        <v>15261.450635036497</v>
      </c>
      <c r="G38" s="75">
        <f t="shared" ref="G38" si="32">SUM(G35:G37)</f>
        <v>21065.628908759129</v>
      </c>
      <c r="H38" s="75">
        <f t="shared" ref="H38" si="33">SUM(H35:H37)</f>
        <v>21065.628908759129</v>
      </c>
      <c r="I38" s="75">
        <f t="shared" ref="I38" si="34">SUM(I35:I37)</f>
        <v>15261.450635036497</v>
      </c>
      <c r="J38" s="75">
        <f t="shared" ref="J38" si="35">SUM(J35:J37)</f>
        <v>17272.37752554745</v>
      </c>
      <c r="K38" s="75">
        <f t="shared" ref="K38" si="36">SUM(K35:K37)</f>
        <v>23076.555799270071</v>
      </c>
      <c r="L38" s="75">
        <f t="shared" ref="L38" si="37">SUM(L35:L37)</f>
        <v>23076.555799270071</v>
      </c>
      <c r="M38" s="75">
        <f t="shared" ref="M38" si="38">SUM(M35:M37)</f>
        <v>25087.482689781027</v>
      </c>
      <c r="N38" s="72">
        <f>SUM(B38:M38)</f>
        <v>214169.22587956209</v>
      </c>
    </row>
    <row r="39" spans="1:14" x14ac:dyDescent="0.2">
      <c r="A39" s="65" t="s">
        <v>53</v>
      </c>
      <c r="B39" s="76"/>
      <c r="C39" s="76"/>
      <c r="D39" s="76"/>
      <c r="E39" s="76"/>
      <c r="F39" s="76"/>
      <c r="G39" s="76"/>
      <c r="H39" s="76"/>
      <c r="I39" s="76"/>
      <c r="J39" s="76"/>
      <c r="K39" s="76"/>
      <c r="L39" s="76"/>
      <c r="M39" s="76"/>
      <c r="N39" s="72"/>
    </row>
    <row r="40" spans="1:14" x14ac:dyDescent="0.2">
      <c r="A40" s="30" t="s">
        <v>54</v>
      </c>
      <c r="B40" s="74">
        <v>5045</v>
      </c>
      <c r="C40" s="74">
        <v>5045</v>
      </c>
      <c r="D40" s="74">
        <v>5045</v>
      </c>
      <c r="E40" s="74">
        <v>5045</v>
      </c>
      <c r="F40" s="74">
        <v>5045</v>
      </c>
      <c r="G40" s="74">
        <v>5045</v>
      </c>
      <c r="H40" s="74">
        <v>5045</v>
      </c>
      <c r="I40" s="74">
        <v>5045</v>
      </c>
      <c r="J40" s="74">
        <v>5045</v>
      </c>
      <c r="K40" s="74">
        <v>5045</v>
      </c>
      <c r="L40" s="74">
        <v>5045</v>
      </c>
      <c r="M40" s="74">
        <v>5045</v>
      </c>
      <c r="N40" s="72">
        <f t="shared" ref="N40:N41" si="39">SUM(B40:M40)</f>
        <v>60540</v>
      </c>
    </row>
    <row r="41" spans="1:14" x14ac:dyDescent="0.2">
      <c r="A41" s="58" t="s">
        <v>55</v>
      </c>
      <c r="B41" s="74">
        <v>5045</v>
      </c>
      <c r="C41" s="74">
        <v>5045</v>
      </c>
      <c r="D41" s="74">
        <v>5045</v>
      </c>
      <c r="E41" s="74">
        <v>5045</v>
      </c>
      <c r="F41" s="74">
        <v>5045</v>
      </c>
      <c r="G41" s="74">
        <v>5045</v>
      </c>
      <c r="H41" s="74">
        <v>5045</v>
      </c>
      <c r="I41" s="74">
        <v>5045</v>
      </c>
      <c r="J41" s="74">
        <v>5045</v>
      </c>
      <c r="K41" s="74">
        <v>5045</v>
      </c>
      <c r="L41" s="74">
        <v>5045</v>
      </c>
      <c r="M41" s="74">
        <v>5045</v>
      </c>
      <c r="N41" s="72">
        <f t="shared" si="39"/>
        <v>60540</v>
      </c>
    </row>
    <row r="42" spans="1:14" x14ac:dyDescent="0.2">
      <c r="A42" s="30"/>
      <c r="B42" s="74"/>
      <c r="C42" s="74"/>
      <c r="D42" s="74"/>
      <c r="E42" s="74"/>
      <c r="F42" s="74"/>
      <c r="G42" s="74"/>
      <c r="H42" s="74"/>
      <c r="I42" s="74"/>
      <c r="J42" s="74"/>
      <c r="K42" s="74"/>
      <c r="L42" s="74"/>
      <c r="M42" s="74"/>
      <c r="N42" s="72"/>
    </row>
    <row r="43" spans="1:14" x14ac:dyDescent="0.2">
      <c r="A43" s="30" t="s">
        <v>56</v>
      </c>
      <c r="B43" s="74"/>
      <c r="C43" s="74"/>
      <c r="D43" s="74"/>
      <c r="E43" s="74"/>
      <c r="F43" s="74"/>
      <c r="G43" s="74"/>
      <c r="H43" s="74"/>
      <c r="I43" s="74"/>
      <c r="J43" s="74"/>
      <c r="K43" s="74"/>
      <c r="L43" s="74"/>
      <c r="M43" s="74"/>
      <c r="N43" s="72"/>
    </row>
    <row r="44" spans="1:14" x14ac:dyDescent="0.2">
      <c r="A44" s="30" t="s">
        <v>57</v>
      </c>
      <c r="B44" s="74">
        <f>B30*0.5</f>
        <v>1023.6427007299271</v>
      </c>
      <c r="C44" s="74">
        <f t="shared" ref="C44:M44" si="40">C30*0.5</f>
        <v>1206.7872262773724</v>
      </c>
      <c r="D44" s="74">
        <f t="shared" si="40"/>
        <v>1206.7872262773724</v>
      </c>
      <c r="E44" s="74">
        <f t="shared" si="40"/>
        <v>1389.9317518248176</v>
      </c>
      <c r="F44" s="74">
        <f t="shared" si="40"/>
        <v>1389.9317518248176</v>
      </c>
      <c r="G44" s="74">
        <f t="shared" si="40"/>
        <v>1918.5454379562045</v>
      </c>
      <c r="H44" s="74">
        <f t="shared" si="40"/>
        <v>1918.5454379562045</v>
      </c>
      <c r="I44" s="74">
        <f t="shared" si="40"/>
        <v>1389.9317518248176</v>
      </c>
      <c r="J44" s="74">
        <f t="shared" si="40"/>
        <v>1573.0762773722631</v>
      </c>
      <c r="K44" s="74">
        <f t="shared" si="40"/>
        <v>2101.6899635036493</v>
      </c>
      <c r="L44" s="74">
        <f t="shared" si="40"/>
        <v>2101.6899635036493</v>
      </c>
      <c r="M44" s="74">
        <f t="shared" si="40"/>
        <v>2284.8344890510953</v>
      </c>
      <c r="N44" s="72">
        <f t="shared" ref="N44:N48" si="41">SUM(B44:M44)</f>
        <v>19505.393978102191</v>
      </c>
    </row>
    <row r="45" spans="1:14" x14ac:dyDescent="0.2">
      <c r="A45" s="30" t="s">
        <v>58</v>
      </c>
      <c r="B45" s="74">
        <f>B30*0.6</f>
        <v>1228.3712408759125</v>
      </c>
      <c r="C45" s="74">
        <f t="shared" ref="C45:M45" si="42">C30*0.6</f>
        <v>1448.1446715328468</v>
      </c>
      <c r="D45" s="74">
        <f t="shared" si="42"/>
        <v>1448.1446715328468</v>
      </c>
      <c r="E45" s="74">
        <f t="shared" si="42"/>
        <v>1667.9181021897812</v>
      </c>
      <c r="F45" s="74">
        <f t="shared" si="42"/>
        <v>1667.9181021897812</v>
      </c>
      <c r="G45" s="74">
        <f t="shared" si="42"/>
        <v>2302.2545255474452</v>
      </c>
      <c r="H45" s="74">
        <f t="shared" si="42"/>
        <v>2302.2545255474452</v>
      </c>
      <c r="I45" s="74">
        <f t="shared" si="42"/>
        <v>1667.9181021897812</v>
      </c>
      <c r="J45" s="74">
        <f t="shared" si="42"/>
        <v>1887.6915328467157</v>
      </c>
      <c r="K45" s="74">
        <f t="shared" si="42"/>
        <v>2522.0279562043793</v>
      </c>
      <c r="L45" s="74">
        <f t="shared" si="42"/>
        <v>2522.0279562043793</v>
      </c>
      <c r="M45" s="74">
        <f t="shared" si="42"/>
        <v>2741.8013868613143</v>
      </c>
      <c r="N45" s="72">
        <f t="shared" si="41"/>
        <v>23406.472773722628</v>
      </c>
    </row>
    <row r="46" spans="1:14" x14ac:dyDescent="0.2">
      <c r="A46" s="58" t="s">
        <v>59</v>
      </c>
      <c r="B46" s="78">
        <f>SUM(B44:B45)</f>
        <v>2252.0139416058396</v>
      </c>
      <c r="C46" s="78">
        <f t="shared" ref="C46" si="43">SUM(C44:C45)</f>
        <v>2654.9318978102192</v>
      </c>
      <c r="D46" s="78">
        <f t="shared" ref="D46" si="44">SUM(D44:D45)</f>
        <v>2654.9318978102192</v>
      </c>
      <c r="E46" s="78">
        <f t="shared" ref="E46" si="45">SUM(E44:E45)</f>
        <v>3057.8498540145988</v>
      </c>
      <c r="F46" s="78">
        <f t="shared" ref="F46" si="46">SUM(F44:F45)</f>
        <v>3057.8498540145988</v>
      </c>
      <c r="G46" s="78">
        <f t="shared" ref="G46" si="47">SUM(G44:G45)</f>
        <v>4220.7999635036495</v>
      </c>
      <c r="H46" s="78">
        <f t="shared" ref="H46" si="48">SUM(H44:H45)</f>
        <v>4220.7999635036495</v>
      </c>
      <c r="I46" s="78">
        <f t="shared" ref="I46" si="49">SUM(I44:I45)</f>
        <v>3057.8498540145988</v>
      </c>
      <c r="J46" s="78">
        <f t="shared" ref="J46" si="50">SUM(J44:J45)</f>
        <v>3460.7678102189789</v>
      </c>
      <c r="K46" s="78">
        <f t="shared" ref="K46" si="51">SUM(K44:K45)</f>
        <v>4623.7179197080286</v>
      </c>
      <c r="L46" s="78">
        <f t="shared" ref="L46" si="52">SUM(L44:L45)</f>
        <v>4623.7179197080286</v>
      </c>
      <c r="M46" s="78">
        <f t="shared" ref="M46" si="53">SUM(M44:M45)</f>
        <v>5026.6358759124096</v>
      </c>
      <c r="N46" s="72">
        <f t="shared" si="41"/>
        <v>42911.866751824818</v>
      </c>
    </row>
    <row r="47" spans="1:14" ht="16" thickBot="1" x14ac:dyDescent="0.25">
      <c r="A47" s="30" t="s">
        <v>60</v>
      </c>
      <c r="B47" s="79">
        <v>0</v>
      </c>
      <c r="C47" s="79">
        <v>0</v>
      </c>
      <c r="D47" s="79">
        <v>0</v>
      </c>
      <c r="E47" s="79">
        <v>0</v>
      </c>
      <c r="F47" s="79">
        <v>0</v>
      </c>
      <c r="G47" s="79">
        <v>0</v>
      </c>
      <c r="H47" s="79">
        <v>0</v>
      </c>
      <c r="I47" s="79">
        <v>0</v>
      </c>
      <c r="J47" s="79">
        <v>0</v>
      </c>
      <c r="K47" s="79">
        <v>0</v>
      </c>
      <c r="L47" s="79">
        <v>0</v>
      </c>
      <c r="M47" s="79">
        <v>0</v>
      </c>
      <c r="N47" s="72">
        <f t="shared" si="41"/>
        <v>0</v>
      </c>
    </row>
    <row r="48" spans="1:14" ht="16" thickTop="1" x14ac:dyDescent="0.2">
      <c r="A48" s="64" t="s">
        <v>61</v>
      </c>
      <c r="B48" s="75">
        <f>SUM(B41,B46,B47)</f>
        <v>7297.0139416058391</v>
      </c>
      <c r="C48" s="75">
        <f t="shared" ref="C48" si="54">SUM(C41,C46,C47)</f>
        <v>7699.9318978102192</v>
      </c>
      <c r="D48" s="75">
        <f t="shared" ref="D48" si="55">SUM(D41,D46,D47)</f>
        <v>7699.9318978102192</v>
      </c>
      <c r="E48" s="75">
        <f t="shared" ref="E48" si="56">SUM(E41,E46,E47)</f>
        <v>8102.8498540145993</v>
      </c>
      <c r="F48" s="75">
        <f t="shared" ref="F48" si="57">SUM(F41,F46,F47)</f>
        <v>8102.8498540145993</v>
      </c>
      <c r="G48" s="75">
        <f t="shared" ref="G48" si="58">SUM(G41,G46,G47)</f>
        <v>9265.7999635036504</v>
      </c>
      <c r="H48" s="75">
        <f t="shared" ref="H48" si="59">SUM(H41,H46,H47)</f>
        <v>9265.7999635036504</v>
      </c>
      <c r="I48" s="75">
        <f t="shared" ref="I48" si="60">SUM(I41,I46,I47)</f>
        <v>8102.8498540145993</v>
      </c>
      <c r="J48" s="75">
        <f t="shared" ref="J48" si="61">SUM(J41,J46,J47)</f>
        <v>8505.7678102189784</v>
      </c>
      <c r="K48" s="75">
        <f t="shared" ref="K48" si="62">SUM(K41,K46,K47)</f>
        <v>9668.7179197080295</v>
      </c>
      <c r="L48" s="75">
        <f t="shared" ref="L48" si="63">SUM(L41,L46,L47)</f>
        <v>9668.7179197080295</v>
      </c>
      <c r="M48" s="75">
        <f t="shared" ref="M48" si="64">SUM(M41,M46,M47)</f>
        <v>10071.635875912409</v>
      </c>
      <c r="N48" s="72">
        <f t="shared" si="41"/>
        <v>103451.86675182483</v>
      </c>
    </row>
    <row r="49" spans="1:14" ht="16" thickBot="1" x14ac:dyDescent="0.25">
      <c r="A49" s="30"/>
      <c r="B49" s="80"/>
      <c r="C49" s="80"/>
      <c r="D49" s="80"/>
      <c r="E49" s="80"/>
      <c r="F49" s="80"/>
      <c r="G49" s="80"/>
      <c r="H49" s="80"/>
      <c r="I49" s="80"/>
      <c r="J49" s="80"/>
      <c r="K49" s="80"/>
      <c r="L49" s="80"/>
      <c r="M49" s="80"/>
      <c r="N49" s="72"/>
    </row>
    <row r="50" spans="1:14" ht="17" thickTop="1" thickBot="1" x14ac:dyDescent="0.25">
      <c r="A50" s="66" t="s">
        <v>62</v>
      </c>
      <c r="B50" s="81">
        <f>B38-B48</f>
        <v>3942.5829124087613</v>
      </c>
      <c r="C50" s="81">
        <f t="shared" ref="C50:M50" si="65">C38-C48</f>
        <v>5550.5918467153306</v>
      </c>
      <c r="D50" s="81">
        <f t="shared" si="65"/>
        <v>5550.5918467153306</v>
      </c>
      <c r="E50" s="81">
        <f t="shared" si="65"/>
        <v>7158.600781021898</v>
      </c>
      <c r="F50" s="81">
        <f t="shared" si="65"/>
        <v>7158.600781021898</v>
      </c>
      <c r="G50" s="81">
        <f t="shared" si="65"/>
        <v>11799.828945255478</v>
      </c>
      <c r="H50" s="81">
        <f t="shared" si="65"/>
        <v>11799.828945255478</v>
      </c>
      <c r="I50" s="81">
        <f t="shared" si="65"/>
        <v>7158.600781021898</v>
      </c>
      <c r="J50" s="81">
        <f t="shared" si="65"/>
        <v>8766.6097153284718</v>
      </c>
      <c r="K50" s="81">
        <f t="shared" si="65"/>
        <v>13407.837879562041</v>
      </c>
      <c r="L50" s="81">
        <f t="shared" si="65"/>
        <v>13407.837879562041</v>
      </c>
      <c r="M50" s="81">
        <f t="shared" si="65"/>
        <v>15015.846813868618</v>
      </c>
      <c r="N50" s="72">
        <f t="shared" ref="N50" si="66">SUM(B50:M50)</f>
        <v>110717.35912773723</v>
      </c>
    </row>
    <row r="52" spans="1:14" x14ac:dyDescent="0.2">
      <c r="A52" s="56"/>
    </row>
    <row r="53" spans="1:14" ht="16" thickBot="1" x14ac:dyDescent="0.25">
      <c r="A53" s="28" t="s">
        <v>64</v>
      </c>
    </row>
    <row r="54" spans="1:14" x14ac:dyDescent="0.2">
      <c r="A54" s="62" t="s">
        <v>7</v>
      </c>
      <c r="B54" s="60">
        <f t="shared" ref="B54:M54" si="67">B29</f>
        <v>44927</v>
      </c>
      <c r="C54" s="60">
        <f t="shared" si="67"/>
        <v>44958</v>
      </c>
      <c r="D54" s="60">
        <f t="shared" si="67"/>
        <v>44986</v>
      </c>
      <c r="E54" s="60">
        <f t="shared" si="67"/>
        <v>45017</v>
      </c>
      <c r="F54" s="60">
        <f t="shared" si="67"/>
        <v>45047</v>
      </c>
      <c r="G54" s="60">
        <f t="shared" si="67"/>
        <v>45078</v>
      </c>
      <c r="H54" s="60">
        <f t="shared" si="67"/>
        <v>45108</v>
      </c>
      <c r="I54" s="60">
        <f t="shared" si="67"/>
        <v>45139</v>
      </c>
      <c r="J54" s="60">
        <f t="shared" si="67"/>
        <v>45170</v>
      </c>
      <c r="K54" s="60">
        <f t="shared" si="67"/>
        <v>45200</v>
      </c>
      <c r="L54" s="60">
        <f t="shared" si="67"/>
        <v>45231</v>
      </c>
      <c r="M54" s="60">
        <f t="shared" si="67"/>
        <v>45261</v>
      </c>
      <c r="N54" s="70" t="s">
        <v>96</v>
      </c>
    </row>
    <row r="55" spans="1:14" x14ac:dyDescent="0.2">
      <c r="A55" s="30" t="s">
        <v>38</v>
      </c>
      <c r="B55" s="74">
        <f>B5*0.74</f>
        <v>1442.8487591240878</v>
      </c>
      <c r="C55" s="74">
        <f t="shared" ref="C55:M55" si="68">C5*0.74</f>
        <v>1700.9953284671533</v>
      </c>
      <c r="D55" s="74">
        <f t="shared" si="68"/>
        <v>1700.9953284671533</v>
      </c>
      <c r="E55" s="74">
        <f t="shared" si="68"/>
        <v>1959.1418978102192</v>
      </c>
      <c r="F55" s="74">
        <f t="shared" si="68"/>
        <v>1959.1418978102192</v>
      </c>
      <c r="G55" s="74">
        <f t="shared" si="68"/>
        <v>2704.2354744525551</v>
      </c>
      <c r="H55" s="74">
        <f t="shared" si="68"/>
        <v>2704.2354744525551</v>
      </c>
      <c r="I55" s="74">
        <f t="shared" si="68"/>
        <v>1959.1418978102192</v>
      </c>
      <c r="J55" s="74">
        <f t="shared" si="68"/>
        <v>2217.2884671532852</v>
      </c>
      <c r="K55" s="74">
        <f t="shared" si="68"/>
        <v>2962.3820437956201</v>
      </c>
      <c r="L55" s="74">
        <f t="shared" si="68"/>
        <v>2962.3820437956201</v>
      </c>
      <c r="M55" s="74">
        <f t="shared" si="68"/>
        <v>3220.5286131386861</v>
      </c>
      <c r="N55" s="71">
        <f>SUM(B55:M55)</f>
        <v>27493.317226277373</v>
      </c>
    </row>
    <row r="56" spans="1:14" x14ac:dyDescent="0.2">
      <c r="A56" s="30" t="s">
        <v>45</v>
      </c>
      <c r="B56" s="74">
        <f>B55</f>
        <v>1442.8487591240878</v>
      </c>
      <c r="C56" s="74">
        <f t="shared" ref="C56" si="69">C55</f>
        <v>1700.9953284671533</v>
      </c>
      <c r="D56" s="74">
        <f t="shared" ref="D56" si="70">D55</f>
        <v>1700.9953284671533</v>
      </c>
      <c r="E56" s="74">
        <f t="shared" ref="E56" si="71">E55</f>
        <v>1959.1418978102192</v>
      </c>
      <c r="F56" s="74">
        <f t="shared" ref="F56" si="72">F55</f>
        <v>1959.1418978102192</v>
      </c>
      <c r="G56" s="74">
        <f t="shared" ref="G56" si="73">G55</f>
        <v>2704.2354744525551</v>
      </c>
      <c r="H56" s="74">
        <f t="shared" ref="H56" si="74">H55</f>
        <v>2704.2354744525551</v>
      </c>
      <c r="I56" s="74">
        <f t="shared" ref="I56" si="75">I55</f>
        <v>1959.1418978102192</v>
      </c>
      <c r="J56" s="74">
        <f t="shared" ref="J56" si="76">J55</f>
        <v>2217.2884671532852</v>
      </c>
      <c r="K56" s="74">
        <f t="shared" ref="K56" si="77">K55</f>
        <v>2962.3820437956201</v>
      </c>
      <c r="L56" s="74">
        <f t="shared" ref="L56" si="78">L55</f>
        <v>2962.3820437956201</v>
      </c>
      <c r="M56" s="74">
        <f t="shared" ref="M56" si="79">M55</f>
        <v>3220.5286131386861</v>
      </c>
      <c r="N56" s="71">
        <f t="shared" ref="N56:N58" si="80">SUM(B56:M56)</f>
        <v>27493.317226277373</v>
      </c>
    </row>
    <row r="57" spans="1:14" x14ac:dyDescent="0.2">
      <c r="A57" s="30" t="s">
        <v>46</v>
      </c>
      <c r="B57" s="74">
        <v>0</v>
      </c>
      <c r="C57" s="74">
        <v>0</v>
      </c>
      <c r="D57" s="74">
        <v>0</v>
      </c>
      <c r="E57" s="74">
        <v>0</v>
      </c>
      <c r="F57" s="74">
        <v>0</v>
      </c>
      <c r="G57" s="74">
        <v>0</v>
      </c>
      <c r="H57" s="74">
        <v>0</v>
      </c>
      <c r="I57" s="74">
        <v>0</v>
      </c>
      <c r="J57" s="74">
        <v>0</v>
      </c>
      <c r="K57" s="74">
        <v>0</v>
      </c>
      <c r="L57" s="74">
        <v>0</v>
      </c>
      <c r="M57" s="74">
        <v>0</v>
      </c>
      <c r="N57" s="71">
        <f t="shared" si="80"/>
        <v>0</v>
      </c>
    </row>
    <row r="58" spans="1:14" x14ac:dyDescent="0.2">
      <c r="A58" s="31" t="s">
        <v>47</v>
      </c>
      <c r="B58" s="74">
        <v>0</v>
      </c>
      <c r="C58" s="74">
        <v>0</v>
      </c>
      <c r="D58" s="74">
        <v>0</v>
      </c>
      <c r="E58" s="74">
        <v>0</v>
      </c>
      <c r="F58" s="74">
        <v>0</v>
      </c>
      <c r="G58" s="74">
        <v>0</v>
      </c>
      <c r="H58" s="74">
        <v>0</v>
      </c>
      <c r="I58" s="74">
        <v>0</v>
      </c>
      <c r="J58" s="74">
        <v>0</v>
      </c>
      <c r="K58" s="74">
        <v>0</v>
      </c>
      <c r="L58" s="74">
        <v>0</v>
      </c>
      <c r="M58" s="74">
        <v>0</v>
      </c>
      <c r="N58" s="71">
        <f t="shared" si="80"/>
        <v>0</v>
      </c>
    </row>
    <row r="59" spans="1:14" x14ac:dyDescent="0.2">
      <c r="A59" s="63" t="s">
        <v>48</v>
      </c>
      <c r="B59" s="76"/>
      <c r="C59" s="76"/>
      <c r="D59" s="76"/>
      <c r="E59" s="76"/>
      <c r="F59" s="76"/>
      <c r="G59" s="76"/>
      <c r="H59" s="76"/>
      <c r="I59" s="76"/>
      <c r="J59" s="76"/>
      <c r="K59" s="76"/>
      <c r="L59" s="76"/>
      <c r="M59" s="76"/>
      <c r="N59" s="71"/>
    </row>
    <row r="60" spans="1:14" x14ac:dyDescent="0.2">
      <c r="A60" s="30" t="s">
        <v>49</v>
      </c>
      <c r="B60" s="74">
        <f>B55*2.99</f>
        <v>4314.117789781023</v>
      </c>
      <c r="C60" s="74">
        <f t="shared" ref="C60:M60" si="81">C55*2.99</f>
        <v>5085.9760321167887</v>
      </c>
      <c r="D60" s="74">
        <f t="shared" si="81"/>
        <v>5085.9760321167887</v>
      </c>
      <c r="E60" s="74">
        <f t="shared" si="81"/>
        <v>5857.8342744525562</v>
      </c>
      <c r="F60" s="74">
        <f t="shared" si="81"/>
        <v>5857.8342744525562</v>
      </c>
      <c r="G60" s="74">
        <f t="shared" si="81"/>
        <v>8085.6640686131404</v>
      </c>
      <c r="H60" s="74">
        <f t="shared" si="81"/>
        <v>8085.6640686131404</v>
      </c>
      <c r="I60" s="74">
        <f t="shared" si="81"/>
        <v>5857.8342744525562</v>
      </c>
      <c r="J60" s="74">
        <f t="shared" si="81"/>
        <v>6629.6925167883228</v>
      </c>
      <c r="K60" s="74">
        <f t="shared" si="81"/>
        <v>8857.5223109489052</v>
      </c>
      <c r="L60" s="74">
        <f t="shared" si="81"/>
        <v>8857.5223109489052</v>
      </c>
      <c r="M60" s="74">
        <f t="shared" si="81"/>
        <v>9629.3805532846727</v>
      </c>
      <c r="N60" s="72">
        <f>SUM(B60:M60)</f>
        <v>82205.018506569366</v>
      </c>
    </row>
    <row r="61" spans="1:14" x14ac:dyDescent="0.2">
      <c r="A61" s="30" t="s">
        <v>50</v>
      </c>
      <c r="B61" s="74">
        <f>B55*2.5</f>
        <v>3607.1218978102197</v>
      </c>
      <c r="C61" s="74">
        <f t="shared" ref="C61:M61" si="82">C55*2.5</f>
        <v>4252.4883211678834</v>
      </c>
      <c r="D61" s="74">
        <f t="shared" si="82"/>
        <v>4252.4883211678834</v>
      </c>
      <c r="E61" s="74">
        <f t="shared" si="82"/>
        <v>4897.8547445255481</v>
      </c>
      <c r="F61" s="74">
        <f t="shared" si="82"/>
        <v>4897.8547445255481</v>
      </c>
      <c r="G61" s="74">
        <f t="shared" si="82"/>
        <v>6760.5886861313875</v>
      </c>
      <c r="H61" s="74">
        <f t="shared" si="82"/>
        <v>6760.5886861313875</v>
      </c>
      <c r="I61" s="74">
        <f t="shared" si="82"/>
        <v>4897.8547445255481</v>
      </c>
      <c r="J61" s="74">
        <f t="shared" si="82"/>
        <v>5543.2211678832127</v>
      </c>
      <c r="K61" s="74">
        <f t="shared" si="82"/>
        <v>7405.9551094890503</v>
      </c>
      <c r="L61" s="74">
        <f t="shared" si="82"/>
        <v>7405.9551094890503</v>
      </c>
      <c r="M61" s="74">
        <f t="shared" si="82"/>
        <v>8051.3215328467149</v>
      </c>
      <c r="N61" s="72">
        <f t="shared" ref="N61:N62" si="83">SUM(B61:M61)</f>
        <v>68733.293065693433</v>
      </c>
    </row>
    <row r="62" spans="1:14" ht="16" thickBot="1" x14ac:dyDescent="0.25">
      <c r="A62" s="30" t="s">
        <v>51</v>
      </c>
      <c r="B62" s="77">
        <v>0</v>
      </c>
      <c r="C62" s="77">
        <v>0</v>
      </c>
      <c r="D62" s="77">
        <v>0</v>
      </c>
      <c r="E62" s="77">
        <v>0</v>
      </c>
      <c r="F62" s="77">
        <v>0</v>
      </c>
      <c r="G62" s="77">
        <v>0</v>
      </c>
      <c r="H62" s="77">
        <v>0</v>
      </c>
      <c r="I62" s="77">
        <v>0</v>
      </c>
      <c r="J62" s="77">
        <v>0</v>
      </c>
      <c r="K62" s="77">
        <v>0</v>
      </c>
      <c r="L62" s="77">
        <v>0</v>
      </c>
      <c r="M62" s="77">
        <v>0</v>
      </c>
      <c r="N62" s="72">
        <f t="shared" si="83"/>
        <v>0</v>
      </c>
    </row>
    <row r="63" spans="1:14" ht="16" thickTop="1" x14ac:dyDescent="0.2">
      <c r="A63" s="64" t="s">
        <v>52</v>
      </c>
      <c r="B63" s="75">
        <f>SUM(B60:B62)</f>
        <v>7921.2396875912427</v>
      </c>
      <c r="C63" s="75">
        <f t="shared" ref="C63" si="84">SUM(C60:C62)</f>
        <v>9338.4643532846712</v>
      </c>
      <c r="D63" s="75">
        <f t="shared" ref="D63" si="85">SUM(D60:D62)</f>
        <v>9338.4643532846712</v>
      </c>
      <c r="E63" s="75">
        <f t="shared" ref="E63" si="86">SUM(E60:E62)</f>
        <v>10755.689018978104</v>
      </c>
      <c r="F63" s="75">
        <f t="shared" ref="F63" si="87">SUM(F60:F62)</f>
        <v>10755.689018978104</v>
      </c>
      <c r="G63" s="75">
        <f t="shared" ref="G63" si="88">SUM(G60:G62)</f>
        <v>14846.252754744528</v>
      </c>
      <c r="H63" s="75">
        <f t="shared" ref="H63" si="89">SUM(H60:H62)</f>
        <v>14846.252754744528</v>
      </c>
      <c r="I63" s="75">
        <f t="shared" ref="I63" si="90">SUM(I60:I62)</f>
        <v>10755.689018978104</v>
      </c>
      <c r="J63" s="75">
        <f t="shared" ref="J63" si="91">SUM(J60:J62)</f>
        <v>12172.913684671536</v>
      </c>
      <c r="K63" s="75">
        <f t="shared" ref="K63" si="92">SUM(K60:K62)</f>
        <v>16263.477420437956</v>
      </c>
      <c r="L63" s="75">
        <f t="shared" ref="L63" si="93">SUM(L60:L62)</f>
        <v>16263.477420437956</v>
      </c>
      <c r="M63" s="75">
        <f t="shared" ref="M63" si="94">SUM(M60:M62)</f>
        <v>17680.702086131387</v>
      </c>
      <c r="N63" s="72">
        <f>SUM(B63:M63)</f>
        <v>150938.31157226276</v>
      </c>
    </row>
    <row r="64" spans="1:14" x14ac:dyDescent="0.2">
      <c r="A64" s="65" t="s">
        <v>53</v>
      </c>
      <c r="B64" s="76"/>
      <c r="C64" s="76"/>
      <c r="D64" s="76"/>
      <c r="E64" s="76"/>
      <c r="F64" s="76"/>
      <c r="G64" s="76"/>
      <c r="H64" s="76"/>
      <c r="I64" s="76"/>
      <c r="J64" s="76"/>
      <c r="K64" s="76"/>
      <c r="L64" s="76"/>
      <c r="M64" s="76"/>
      <c r="N64" s="72"/>
    </row>
    <row r="65" spans="1:14" x14ac:dyDescent="0.2">
      <c r="A65" s="30" t="s">
        <v>54</v>
      </c>
      <c r="B65" s="74">
        <v>5045</v>
      </c>
      <c r="C65" s="74">
        <v>5045</v>
      </c>
      <c r="D65" s="74">
        <v>5045</v>
      </c>
      <c r="E65" s="74">
        <v>5045</v>
      </c>
      <c r="F65" s="74">
        <v>5045</v>
      </c>
      <c r="G65" s="74">
        <v>5045</v>
      </c>
      <c r="H65" s="74">
        <v>5045</v>
      </c>
      <c r="I65" s="74">
        <v>5045</v>
      </c>
      <c r="J65" s="74">
        <v>5045</v>
      </c>
      <c r="K65" s="74">
        <v>5045</v>
      </c>
      <c r="L65" s="74">
        <v>5045</v>
      </c>
      <c r="M65" s="74">
        <v>5045</v>
      </c>
      <c r="N65" s="72">
        <f t="shared" ref="N65:N66" si="95">SUM(B65:M65)</f>
        <v>60540</v>
      </c>
    </row>
    <row r="66" spans="1:14" x14ac:dyDescent="0.2">
      <c r="A66" s="58" t="s">
        <v>55</v>
      </c>
      <c r="B66" s="74">
        <v>5045</v>
      </c>
      <c r="C66" s="74">
        <v>5045</v>
      </c>
      <c r="D66" s="74">
        <v>5045</v>
      </c>
      <c r="E66" s="74">
        <v>5045</v>
      </c>
      <c r="F66" s="74">
        <v>5045</v>
      </c>
      <c r="G66" s="74">
        <v>5045</v>
      </c>
      <c r="H66" s="74">
        <v>5045</v>
      </c>
      <c r="I66" s="74">
        <v>5045</v>
      </c>
      <c r="J66" s="74">
        <v>5045</v>
      </c>
      <c r="K66" s="74">
        <v>5045</v>
      </c>
      <c r="L66" s="74">
        <v>5045</v>
      </c>
      <c r="M66" s="74">
        <v>5045</v>
      </c>
      <c r="N66" s="72">
        <f t="shared" si="95"/>
        <v>60540</v>
      </c>
    </row>
    <row r="67" spans="1:14" x14ac:dyDescent="0.2">
      <c r="A67" s="30"/>
      <c r="B67" s="74"/>
      <c r="C67" s="74"/>
      <c r="D67" s="74"/>
      <c r="E67" s="74"/>
      <c r="F67" s="74"/>
      <c r="G67" s="74"/>
      <c r="H67" s="74"/>
      <c r="I67" s="74"/>
      <c r="J67" s="74"/>
      <c r="K67" s="74"/>
      <c r="L67" s="74"/>
      <c r="M67" s="74"/>
      <c r="N67" s="72"/>
    </row>
    <row r="68" spans="1:14" x14ac:dyDescent="0.2">
      <c r="A68" s="30" t="s">
        <v>56</v>
      </c>
      <c r="B68" s="74"/>
      <c r="C68" s="74"/>
      <c r="D68" s="74"/>
      <c r="E68" s="74"/>
      <c r="F68" s="74"/>
      <c r="G68" s="74"/>
      <c r="H68" s="74"/>
      <c r="I68" s="74"/>
      <c r="J68" s="74"/>
      <c r="K68" s="74"/>
      <c r="L68" s="74"/>
      <c r="M68" s="74"/>
      <c r="N68" s="72"/>
    </row>
    <row r="69" spans="1:14" x14ac:dyDescent="0.2">
      <c r="A69" s="30" t="s">
        <v>57</v>
      </c>
      <c r="B69" s="74">
        <f>B55*0.5</f>
        <v>721.4243795620439</v>
      </c>
      <c r="C69" s="74">
        <f t="shared" ref="C69:M69" si="96">C55*0.5</f>
        <v>850.49766423357664</v>
      </c>
      <c r="D69" s="74">
        <f t="shared" si="96"/>
        <v>850.49766423357664</v>
      </c>
      <c r="E69" s="74">
        <f t="shared" si="96"/>
        <v>979.57094890510962</v>
      </c>
      <c r="F69" s="74">
        <f t="shared" si="96"/>
        <v>979.57094890510962</v>
      </c>
      <c r="G69" s="74">
        <f t="shared" si="96"/>
        <v>1352.1177372262775</v>
      </c>
      <c r="H69" s="74">
        <f t="shared" si="96"/>
        <v>1352.1177372262775</v>
      </c>
      <c r="I69" s="74">
        <f t="shared" si="96"/>
        <v>979.57094890510962</v>
      </c>
      <c r="J69" s="74">
        <f t="shared" si="96"/>
        <v>1108.6442335766426</v>
      </c>
      <c r="K69" s="74">
        <f t="shared" si="96"/>
        <v>1481.1910218978101</v>
      </c>
      <c r="L69" s="74">
        <f t="shared" si="96"/>
        <v>1481.1910218978101</v>
      </c>
      <c r="M69" s="74">
        <f t="shared" si="96"/>
        <v>1610.264306569343</v>
      </c>
      <c r="N69" s="72">
        <f t="shared" ref="N69:N73" si="97">SUM(B69:M69)</f>
        <v>13746.658613138687</v>
      </c>
    </row>
    <row r="70" spans="1:14" x14ac:dyDescent="0.2">
      <c r="A70" s="30" t="s">
        <v>58</v>
      </c>
      <c r="B70" s="74">
        <f>B55*0.6</f>
        <v>865.70925547445268</v>
      </c>
      <c r="C70" s="74">
        <f t="shared" ref="C70:M70" si="98">C55*0.6</f>
        <v>1020.5971970802919</v>
      </c>
      <c r="D70" s="74">
        <f t="shared" si="98"/>
        <v>1020.5971970802919</v>
      </c>
      <c r="E70" s="74">
        <f t="shared" si="98"/>
        <v>1175.4851386861314</v>
      </c>
      <c r="F70" s="74">
        <f t="shared" si="98"/>
        <v>1175.4851386861314</v>
      </c>
      <c r="G70" s="74">
        <f t="shared" si="98"/>
        <v>1622.541284671533</v>
      </c>
      <c r="H70" s="74">
        <f t="shared" si="98"/>
        <v>1622.541284671533</v>
      </c>
      <c r="I70" s="74">
        <f t="shared" si="98"/>
        <v>1175.4851386861314</v>
      </c>
      <c r="J70" s="74">
        <f t="shared" si="98"/>
        <v>1330.3730802919711</v>
      </c>
      <c r="K70" s="74">
        <f t="shared" si="98"/>
        <v>1777.429226277372</v>
      </c>
      <c r="L70" s="74">
        <f t="shared" si="98"/>
        <v>1777.429226277372</v>
      </c>
      <c r="M70" s="74">
        <f t="shared" si="98"/>
        <v>1932.3171678832116</v>
      </c>
      <c r="N70" s="72">
        <f t="shared" si="97"/>
        <v>16495.990335766426</v>
      </c>
    </row>
    <row r="71" spans="1:14" x14ac:dyDescent="0.2">
      <c r="A71" s="58" t="s">
        <v>59</v>
      </c>
      <c r="B71" s="78">
        <f>SUM(B69:B70)</f>
        <v>1587.1336350364966</v>
      </c>
      <c r="C71" s="78">
        <f t="shared" ref="C71" si="99">SUM(C69:C70)</f>
        <v>1871.0948613138685</v>
      </c>
      <c r="D71" s="78">
        <f t="shared" ref="D71" si="100">SUM(D69:D70)</f>
        <v>1871.0948613138685</v>
      </c>
      <c r="E71" s="78">
        <f t="shared" ref="E71" si="101">SUM(E69:E70)</f>
        <v>2155.0560875912411</v>
      </c>
      <c r="F71" s="78">
        <f t="shared" ref="F71" si="102">SUM(F69:F70)</f>
        <v>2155.0560875912411</v>
      </c>
      <c r="G71" s="78">
        <f t="shared" ref="G71" si="103">SUM(G69:G70)</f>
        <v>2974.6590218978108</v>
      </c>
      <c r="H71" s="78">
        <f t="shared" ref="H71" si="104">SUM(H69:H70)</f>
        <v>2974.6590218978108</v>
      </c>
      <c r="I71" s="78">
        <f t="shared" ref="I71" si="105">SUM(I69:I70)</f>
        <v>2155.0560875912411</v>
      </c>
      <c r="J71" s="78">
        <f t="shared" ref="J71" si="106">SUM(J69:J70)</f>
        <v>2439.0173138686137</v>
      </c>
      <c r="K71" s="78">
        <f t="shared" ref="K71" si="107">SUM(K69:K70)</f>
        <v>3258.620248175182</v>
      </c>
      <c r="L71" s="78">
        <f t="shared" ref="L71" si="108">SUM(L69:L70)</f>
        <v>3258.620248175182</v>
      </c>
      <c r="M71" s="78">
        <f t="shared" ref="M71" si="109">SUM(M69:M70)</f>
        <v>3542.5814744525546</v>
      </c>
      <c r="N71" s="72">
        <f t="shared" si="97"/>
        <v>30242.648948905116</v>
      </c>
    </row>
    <row r="72" spans="1:14" ht="16" thickBot="1" x14ac:dyDescent="0.25">
      <c r="A72" s="30" t="s">
        <v>60</v>
      </c>
      <c r="B72" s="79">
        <v>0</v>
      </c>
      <c r="C72" s="79">
        <v>0</v>
      </c>
      <c r="D72" s="79">
        <v>0</v>
      </c>
      <c r="E72" s="79">
        <v>0</v>
      </c>
      <c r="F72" s="79">
        <v>0</v>
      </c>
      <c r="G72" s="79">
        <v>0</v>
      </c>
      <c r="H72" s="79">
        <v>0</v>
      </c>
      <c r="I72" s="79">
        <v>0</v>
      </c>
      <c r="J72" s="79">
        <v>0</v>
      </c>
      <c r="K72" s="79">
        <v>0</v>
      </c>
      <c r="L72" s="79">
        <v>0</v>
      </c>
      <c r="M72" s="79">
        <v>0</v>
      </c>
      <c r="N72" s="72">
        <f t="shared" si="97"/>
        <v>0</v>
      </c>
    </row>
    <row r="73" spans="1:14" ht="16" thickTop="1" x14ac:dyDescent="0.2">
      <c r="A73" s="64" t="s">
        <v>61</v>
      </c>
      <c r="B73" s="75">
        <f>SUM(B66,B71,B72)</f>
        <v>6632.1336350364963</v>
      </c>
      <c r="C73" s="75">
        <f t="shared" ref="C73" si="110">SUM(C66,C71,C72)</f>
        <v>6916.094861313868</v>
      </c>
      <c r="D73" s="75">
        <f t="shared" ref="D73" si="111">SUM(D66,D71,D72)</f>
        <v>6916.094861313868</v>
      </c>
      <c r="E73" s="75">
        <f t="shared" ref="E73" si="112">SUM(E66,E71,E72)</f>
        <v>7200.0560875912415</v>
      </c>
      <c r="F73" s="75">
        <f t="shared" ref="F73" si="113">SUM(F66,F71,F72)</f>
        <v>7200.0560875912415</v>
      </c>
      <c r="G73" s="75">
        <f t="shared" ref="G73" si="114">SUM(G66,G71,G72)</f>
        <v>8019.6590218978108</v>
      </c>
      <c r="H73" s="75">
        <f t="shared" ref="H73" si="115">SUM(H66,H71,H72)</f>
        <v>8019.6590218978108</v>
      </c>
      <c r="I73" s="75">
        <f t="shared" ref="I73" si="116">SUM(I66,I71,I72)</f>
        <v>7200.0560875912415</v>
      </c>
      <c r="J73" s="75">
        <f t="shared" ref="J73" si="117">SUM(J66,J71,J72)</f>
        <v>7484.0173138686132</v>
      </c>
      <c r="K73" s="75">
        <f t="shared" ref="K73" si="118">SUM(K66,K71,K72)</f>
        <v>8303.6202481751825</v>
      </c>
      <c r="L73" s="75">
        <f t="shared" ref="L73" si="119">SUM(L66,L71,L72)</f>
        <v>8303.6202481751825</v>
      </c>
      <c r="M73" s="75">
        <f t="shared" ref="M73" si="120">SUM(M66,M71,M72)</f>
        <v>8587.5814744525542</v>
      </c>
      <c r="N73" s="72">
        <f t="shared" si="97"/>
        <v>90782.648948905102</v>
      </c>
    </row>
    <row r="74" spans="1:14" ht="16" thickBot="1" x14ac:dyDescent="0.25">
      <c r="A74" s="30"/>
      <c r="B74" s="80"/>
      <c r="C74" s="80"/>
      <c r="D74" s="80"/>
      <c r="E74" s="80"/>
      <c r="F74" s="80"/>
      <c r="G74" s="80"/>
      <c r="H74" s="80"/>
      <c r="I74" s="80"/>
      <c r="J74" s="80"/>
      <c r="K74" s="80"/>
      <c r="L74" s="80"/>
      <c r="M74" s="80"/>
      <c r="N74" s="72"/>
    </row>
    <row r="75" spans="1:14" ht="17" thickTop="1" thickBot="1" x14ac:dyDescent="0.25">
      <c r="A75" s="66" t="s">
        <v>62</v>
      </c>
      <c r="B75" s="81">
        <f>B63-B73</f>
        <v>1289.1060525547464</v>
      </c>
      <c r="C75" s="81">
        <f t="shared" ref="C75:M75" si="121">C63-C73</f>
        <v>2422.3694919708032</v>
      </c>
      <c r="D75" s="81">
        <f t="shared" si="121"/>
        <v>2422.3694919708032</v>
      </c>
      <c r="E75" s="81">
        <f t="shared" si="121"/>
        <v>3555.6329313868628</v>
      </c>
      <c r="F75" s="81">
        <f t="shared" si="121"/>
        <v>3555.6329313868628</v>
      </c>
      <c r="G75" s="81">
        <f t="shared" si="121"/>
        <v>6826.5937328467171</v>
      </c>
      <c r="H75" s="81">
        <f t="shared" si="121"/>
        <v>6826.5937328467171</v>
      </c>
      <c r="I75" s="81">
        <f t="shared" si="121"/>
        <v>3555.6329313868628</v>
      </c>
      <c r="J75" s="81">
        <f t="shared" si="121"/>
        <v>4688.8963708029223</v>
      </c>
      <c r="K75" s="81">
        <f t="shared" si="121"/>
        <v>7959.857172262773</v>
      </c>
      <c r="L75" s="81">
        <f t="shared" si="121"/>
        <v>7959.857172262773</v>
      </c>
      <c r="M75" s="81">
        <f t="shared" si="121"/>
        <v>9093.1206116788326</v>
      </c>
      <c r="N75" s="72">
        <f t="shared" ref="N75" si="122">SUM(B75:M75)</f>
        <v>60155.662623357675</v>
      </c>
    </row>
  </sheetData>
  <mergeCells count="1">
    <mergeCell ref="B1:D2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5ECD94-8B0D-C946-A2E5-D39C77F7314C}">
  <dimension ref="A1:N63"/>
  <sheetViews>
    <sheetView zoomScale="85" zoomScaleNormal="85" workbookViewId="0">
      <selection activeCell="J31" sqref="J31"/>
    </sheetView>
  </sheetViews>
  <sheetFormatPr baseColWidth="10" defaultColWidth="8.83203125" defaultRowHeight="15" x14ac:dyDescent="0.2"/>
  <cols>
    <col min="1" max="1" width="32.83203125" customWidth="1"/>
    <col min="2" max="2" width="15" customWidth="1"/>
    <col min="3" max="3" width="13.83203125" customWidth="1"/>
    <col min="4" max="4" width="14.1640625" customWidth="1"/>
    <col min="5" max="5" width="19.33203125" customWidth="1"/>
    <col min="6" max="6" width="14" customWidth="1"/>
    <col min="9" max="9" width="24.33203125" bestFit="1" customWidth="1"/>
    <col min="10" max="10" width="28" bestFit="1" customWidth="1"/>
    <col min="11" max="11" width="26.33203125" bestFit="1" customWidth="1"/>
    <col min="12" max="12" width="28" bestFit="1" customWidth="1"/>
    <col min="13" max="13" width="26.33203125" bestFit="1" customWidth="1"/>
    <col min="14" max="15" width="23.33203125" bestFit="1" customWidth="1"/>
    <col min="16" max="16" width="11.33203125" bestFit="1" customWidth="1"/>
  </cols>
  <sheetData>
    <row r="1" spans="1:6" ht="21" x14ac:dyDescent="0.25">
      <c r="A1" s="228" t="s">
        <v>210</v>
      </c>
    </row>
    <row r="2" spans="1:6" ht="16" x14ac:dyDescent="0.2">
      <c r="A2" s="227" t="s">
        <v>9</v>
      </c>
      <c r="B2" s="227"/>
      <c r="C2" s="227"/>
      <c r="D2" s="227"/>
    </row>
    <row r="3" spans="1:6" ht="16" x14ac:dyDescent="0.2">
      <c r="A3" s="11" t="s">
        <v>10</v>
      </c>
      <c r="B3" s="227"/>
      <c r="C3" s="227"/>
      <c r="D3" s="227"/>
    </row>
    <row r="4" spans="1:6" ht="16" x14ac:dyDescent="0.2">
      <c r="A4" t="s">
        <v>11</v>
      </c>
      <c r="B4" s="227"/>
      <c r="C4" s="227"/>
    </row>
    <row r="5" spans="1:6" ht="16" thickBot="1" x14ac:dyDescent="0.25">
      <c r="C5" t="s">
        <v>209</v>
      </c>
      <c r="D5" t="s">
        <v>208</v>
      </c>
      <c r="E5" s="226"/>
    </row>
    <row r="6" spans="1:6" ht="32" x14ac:dyDescent="0.2">
      <c r="A6" s="119" t="s">
        <v>118</v>
      </c>
      <c r="B6" s="120" t="s">
        <v>119</v>
      </c>
      <c r="C6" s="225" t="s">
        <v>207</v>
      </c>
      <c r="D6" s="8"/>
      <c r="E6" s="12"/>
    </row>
    <row r="7" spans="1:6" x14ac:dyDescent="0.2">
      <c r="A7" s="122" t="s">
        <v>13</v>
      </c>
      <c r="B7" s="68" t="s">
        <v>121</v>
      </c>
      <c r="C7" s="224">
        <v>2.99</v>
      </c>
      <c r="D7" s="16"/>
    </row>
    <row r="8" spans="1:6" x14ac:dyDescent="0.2">
      <c r="A8" s="122" t="s">
        <v>14</v>
      </c>
      <c r="B8" s="68" t="s">
        <v>122</v>
      </c>
      <c r="C8" s="224">
        <v>2.5</v>
      </c>
      <c r="D8" s="16"/>
    </row>
    <row r="9" spans="1:6" x14ac:dyDescent="0.2">
      <c r="A9" s="124" t="s">
        <v>15</v>
      </c>
      <c r="B9" s="68" t="s">
        <v>206</v>
      </c>
      <c r="C9" s="223">
        <v>0.5</v>
      </c>
      <c r="D9" s="16"/>
    </row>
    <row r="10" spans="1:6" ht="29" x14ac:dyDescent="0.2">
      <c r="A10" s="124" t="s">
        <v>124</v>
      </c>
      <c r="B10" s="68" t="s">
        <v>206</v>
      </c>
      <c r="C10" s="223">
        <v>0.1</v>
      </c>
      <c r="D10" s="16"/>
      <c r="F10" s="12"/>
    </row>
    <row r="11" spans="1:6" x14ac:dyDescent="0.2">
      <c r="A11" s="124" t="s">
        <v>16</v>
      </c>
      <c r="B11" s="68" t="s">
        <v>123</v>
      </c>
      <c r="C11" s="223">
        <v>150</v>
      </c>
    </row>
    <row r="12" spans="1:6" x14ac:dyDescent="0.2">
      <c r="A12" s="124" t="s">
        <v>17</v>
      </c>
      <c r="B12" s="68" t="s">
        <v>123</v>
      </c>
      <c r="C12" s="223">
        <v>300</v>
      </c>
      <c r="F12" s="12"/>
    </row>
    <row r="13" spans="1:6" x14ac:dyDescent="0.2">
      <c r="A13" s="124" t="s">
        <v>18</v>
      </c>
      <c r="B13" s="68" t="s">
        <v>123</v>
      </c>
      <c r="C13" s="223">
        <v>0</v>
      </c>
      <c r="D13" s="12" t="s">
        <v>205</v>
      </c>
    </row>
    <row r="14" spans="1:6" x14ac:dyDescent="0.2">
      <c r="A14" s="124" t="s">
        <v>19</v>
      </c>
      <c r="B14" s="68" t="s">
        <v>204</v>
      </c>
      <c r="C14" s="223">
        <v>0.35</v>
      </c>
      <c r="D14" s="16"/>
    </row>
    <row r="15" spans="1:6" x14ac:dyDescent="0.2">
      <c r="A15" s="124" t="s">
        <v>20</v>
      </c>
      <c r="B15" s="68" t="s">
        <v>204</v>
      </c>
      <c r="C15" s="223">
        <v>0.15</v>
      </c>
      <c r="D15" s="16"/>
    </row>
    <row r="16" spans="1:6" x14ac:dyDescent="0.2">
      <c r="A16" s="124" t="s">
        <v>21</v>
      </c>
      <c r="B16" s="68" t="s">
        <v>123</v>
      </c>
      <c r="C16" s="223">
        <v>2400</v>
      </c>
    </row>
    <row r="17" spans="1:14" x14ac:dyDescent="0.2">
      <c r="A17" s="124" t="s">
        <v>22</v>
      </c>
      <c r="B17" s="68" t="s">
        <v>123</v>
      </c>
      <c r="C17" s="223">
        <v>0</v>
      </c>
      <c r="D17" s="12" t="s">
        <v>203</v>
      </c>
    </row>
    <row r="18" spans="1:14" x14ac:dyDescent="0.2">
      <c r="A18" s="124" t="s">
        <v>23</v>
      </c>
      <c r="B18" s="68" t="s">
        <v>123</v>
      </c>
      <c r="C18" s="223">
        <v>0</v>
      </c>
      <c r="H18" t="s">
        <v>11</v>
      </c>
    </row>
    <row r="19" spans="1:14" x14ac:dyDescent="0.2">
      <c r="A19" s="124" t="s">
        <v>24</v>
      </c>
      <c r="B19" s="68" t="s">
        <v>123</v>
      </c>
      <c r="C19" s="223">
        <v>50</v>
      </c>
    </row>
    <row r="20" spans="1:14" x14ac:dyDescent="0.2">
      <c r="A20" s="124" t="s">
        <v>25</v>
      </c>
      <c r="B20" s="68" t="s">
        <v>123</v>
      </c>
      <c r="C20" s="223">
        <v>25</v>
      </c>
    </row>
    <row r="21" spans="1:14" x14ac:dyDescent="0.2">
      <c r="A21" s="15" t="s">
        <v>26</v>
      </c>
      <c r="B21" s="68" t="s">
        <v>123</v>
      </c>
      <c r="C21" s="223">
        <v>0</v>
      </c>
    </row>
    <row r="22" spans="1:14" x14ac:dyDescent="0.2">
      <c r="A22" s="124" t="s">
        <v>27</v>
      </c>
      <c r="B22" s="68" t="s">
        <v>123</v>
      </c>
      <c r="C22" s="223">
        <v>2120</v>
      </c>
      <c r="D22" s="12" t="s">
        <v>202</v>
      </c>
    </row>
    <row r="23" spans="1:14" x14ac:dyDescent="0.2">
      <c r="A23" s="124" t="s">
        <v>28</v>
      </c>
      <c r="B23" s="68" t="s">
        <v>123</v>
      </c>
      <c r="C23" s="223">
        <v>0</v>
      </c>
    </row>
    <row r="24" spans="1:14" x14ac:dyDescent="0.2">
      <c r="A24" s="125" t="s">
        <v>29</v>
      </c>
      <c r="B24" s="68" t="s">
        <v>123</v>
      </c>
      <c r="C24" s="223">
        <v>0</v>
      </c>
    </row>
    <row r="25" spans="1:14" x14ac:dyDescent="0.2">
      <c r="A25" s="126" t="s">
        <v>11</v>
      </c>
      <c r="C25" s="16"/>
    </row>
    <row r="26" spans="1:14" x14ac:dyDescent="0.2">
      <c r="A26" s="222"/>
      <c r="B26" s="13"/>
      <c r="C26" s="16"/>
    </row>
    <row r="27" spans="1:14" x14ac:dyDescent="0.2">
      <c r="A27" s="221"/>
      <c r="B27" s="220"/>
      <c r="E27" s="2"/>
    </row>
    <row r="28" spans="1:14" x14ac:dyDescent="0.2">
      <c r="F28" s="219"/>
    </row>
    <row r="29" spans="1:14" x14ac:dyDescent="0.2">
      <c r="B29" s="16"/>
      <c r="C29" s="16"/>
    </row>
    <row r="30" spans="1:14" ht="17" thickBot="1" x14ac:dyDescent="0.25">
      <c r="A30" s="218" t="s">
        <v>30</v>
      </c>
      <c r="B30" s="16"/>
      <c r="C30" s="16"/>
    </row>
    <row r="31" spans="1:14" ht="21" x14ac:dyDescent="0.2">
      <c r="A31" s="217" t="s">
        <v>200</v>
      </c>
      <c r="B31" s="216"/>
      <c r="D31" s="130"/>
      <c r="E31" s="130"/>
      <c r="M31" s="198"/>
      <c r="N31" s="2"/>
    </row>
    <row r="32" spans="1:14" ht="20" x14ac:dyDescent="0.25">
      <c r="A32" s="111" t="s">
        <v>31</v>
      </c>
      <c r="B32" s="83" t="s">
        <v>201</v>
      </c>
      <c r="M32" s="198"/>
      <c r="N32" s="2"/>
    </row>
    <row r="33" spans="1:14" ht="19" x14ac:dyDescent="0.25">
      <c r="A33" s="112" t="s">
        <v>32</v>
      </c>
      <c r="B33" s="83"/>
      <c r="M33" s="198"/>
      <c r="N33" s="2"/>
    </row>
    <row r="34" spans="1:14" ht="19" x14ac:dyDescent="0.25">
      <c r="A34" s="112" t="s">
        <v>33</v>
      </c>
      <c r="B34" s="83"/>
      <c r="M34" s="198"/>
      <c r="N34" s="2"/>
    </row>
    <row r="35" spans="1:14" ht="21" x14ac:dyDescent="0.25">
      <c r="A35" s="112" t="s">
        <v>34</v>
      </c>
      <c r="B35" s="215">
        <v>0.05</v>
      </c>
      <c r="C35" s="82"/>
      <c r="D35" s="131"/>
      <c r="E35" s="131"/>
      <c r="M35" s="198"/>
      <c r="N35" s="2"/>
    </row>
    <row r="36" spans="1:14" ht="18" thickBot="1" x14ac:dyDescent="0.25">
      <c r="A36" s="112" t="s">
        <v>35</v>
      </c>
      <c r="B36" s="214">
        <v>0.26</v>
      </c>
      <c r="M36" s="198"/>
      <c r="N36" s="2"/>
    </row>
    <row r="37" spans="1:14" ht="18" customHeight="1" x14ac:dyDescent="0.2">
      <c r="B37" s="213"/>
      <c r="C37" s="50"/>
      <c r="M37" s="198"/>
      <c r="N37" s="2"/>
    </row>
    <row r="38" spans="1:14" x14ac:dyDescent="0.2">
      <c r="A38" s="212"/>
      <c r="B38" s="211"/>
      <c r="M38" s="198"/>
      <c r="N38" s="2"/>
    </row>
    <row r="39" spans="1:14" x14ac:dyDescent="0.2">
      <c r="A39" s="210"/>
      <c r="B39" s="51"/>
      <c r="C39" s="51"/>
      <c r="G39" s="12"/>
      <c r="M39" s="2"/>
      <c r="N39" s="2"/>
    </row>
    <row r="40" spans="1:14" x14ac:dyDescent="0.2">
      <c r="A40" s="209"/>
      <c r="B40" s="208"/>
      <c r="C40" s="206"/>
      <c r="N40" s="2"/>
    </row>
    <row r="41" spans="1:14" ht="21" x14ac:dyDescent="0.25">
      <c r="A41" s="207"/>
      <c r="B41" s="241"/>
      <c r="C41" s="241"/>
      <c r="G41" s="12"/>
      <c r="H41" s="2"/>
      <c r="M41" s="198"/>
    </row>
    <row r="42" spans="1:14" x14ac:dyDescent="0.2">
      <c r="A42" s="206"/>
      <c r="B42" s="205"/>
      <c r="C42" s="203"/>
      <c r="H42" s="198"/>
      <c r="M42" s="198"/>
    </row>
    <row r="43" spans="1:14" x14ac:dyDescent="0.2">
      <c r="A43" s="204"/>
      <c r="B43" s="205"/>
      <c r="C43" s="203"/>
      <c r="H43" s="198"/>
      <c r="M43" s="198"/>
    </row>
    <row r="44" spans="1:14" x14ac:dyDescent="0.2">
      <c r="A44" s="204"/>
      <c r="B44" s="205"/>
      <c r="C44" s="203"/>
      <c r="H44" s="198"/>
      <c r="M44" s="198"/>
    </row>
    <row r="45" spans="1:14" x14ac:dyDescent="0.2">
      <c r="A45" s="204"/>
      <c r="B45" s="203"/>
      <c r="C45" s="203"/>
      <c r="H45" s="198"/>
      <c r="M45" s="198"/>
    </row>
    <row r="46" spans="1:14" x14ac:dyDescent="0.2">
      <c r="A46" s="204"/>
      <c r="B46" s="203"/>
      <c r="C46" s="203"/>
      <c r="H46" s="198"/>
      <c r="M46" s="198"/>
    </row>
    <row r="47" spans="1:14" x14ac:dyDescent="0.2">
      <c r="A47" s="204"/>
      <c r="B47" s="203"/>
      <c r="C47" s="203"/>
      <c r="H47" s="198"/>
      <c r="M47" s="198"/>
    </row>
    <row r="48" spans="1:14" x14ac:dyDescent="0.2">
      <c r="A48" s="204"/>
      <c r="B48" s="203"/>
      <c r="C48" s="203"/>
      <c r="H48" s="198"/>
      <c r="M48" s="198"/>
    </row>
    <row r="49" spans="1:13" x14ac:dyDescent="0.2">
      <c r="A49" s="202"/>
      <c r="B49" s="16"/>
      <c r="C49" s="16"/>
      <c r="H49" s="198"/>
      <c r="M49" s="2"/>
    </row>
    <row r="50" spans="1:13" x14ac:dyDescent="0.2">
      <c r="A50" s="201"/>
      <c r="B50" s="16"/>
      <c r="C50" s="16"/>
    </row>
    <row r="51" spans="1:13" x14ac:dyDescent="0.2">
      <c r="A51" s="17"/>
      <c r="B51" s="16"/>
      <c r="C51" s="16"/>
      <c r="H51" s="198"/>
    </row>
    <row r="52" spans="1:13" x14ac:dyDescent="0.2">
      <c r="A52" s="201"/>
      <c r="B52" s="16"/>
      <c r="C52" s="16"/>
      <c r="H52" s="2"/>
    </row>
    <row r="53" spans="1:13" x14ac:dyDescent="0.2">
      <c r="A53" s="201"/>
      <c r="B53" s="16"/>
      <c r="C53" s="16"/>
      <c r="H53" s="198"/>
    </row>
    <row r="54" spans="1:13" x14ac:dyDescent="0.2">
      <c r="A54" s="201"/>
      <c r="B54" s="16"/>
      <c r="C54" s="16"/>
      <c r="H54" s="2"/>
    </row>
    <row r="55" spans="1:13" x14ac:dyDescent="0.2">
      <c r="A55" s="201"/>
      <c r="B55" s="16"/>
      <c r="C55" s="16"/>
      <c r="H55" s="198"/>
    </row>
    <row r="56" spans="1:13" x14ac:dyDescent="0.2">
      <c r="H56" s="2"/>
    </row>
    <row r="57" spans="1:13" x14ac:dyDescent="0.2">
      <c r="H57" s="198"/>
    </row>
    <row r="58" spans="1:13" x14ac:dyDescent="0.2">
      <c r="H58" s="2"/>
    </row>
    <row r="59" spans="1:13" x14ac:dyDescent="0.2">
      <c r="H59" s="198"/>
    </row>
    <row r="60" spans="1:13" x14ac:dyDescent="0.2">
      <c r="H60" s="2"/>
    </row>
    <row r="61" spans="1:13" x14ac:dyDescent="0.2">
      <c r="H61" s="198"/>
    </row>
    <row r="62" spans="1:13" x14ac:dyDescent="0.2">
      <c r="A62" s="200" t="s">
        <v>89</v>
      </c>
      <c r="H62" s="2"/>
    </row>
    <row r="63" spans="1:13" x14ac:dyDescent="0.2">
      <c r="A63" s="199"/>
      <c r="H63" s="198"/>
    </row>
  </sheetData>
  <mergeCells count="1">
    <mergeCell ref="B41:C41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9</vt:i4>
      </vt:variant>
    </vt:vector>
  </HeadingPairs>
  <TitlesOfParts>
    <vt:vector size="9" baseType="lpstr">
      <vt:lpstr>Financial information 1 Pt1</vt:lpstr>
      <vt:lpstr>Pivot Table and Chart Pt1</vt:lpstr>
      <vt:lpstr>SI and regression Pt 2</vt:lpstr>
      <vt:lpstr>Current operations  Pt3 </vt:lpstr>
      <vt:lpstr>Franchise operations  Pt3</vt:lpstr>
      <vt:lpstr>Expected Values Pt4</vt:lpstr>
      <vt:lpstr>Food Truck Demand</vt:lpstr>
      <vt:lpstr>Food Truck  Pt 4</vt:lpstr>
      <vt:lpstr>Financial information  FT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Kurt Schmitz</dc:creator>
  <cp:keywords/>
  <dc:description/>
  <cp:lastModifiedBy>Akanksha Wadhwan</cp:lastModifiedBy>
  <dcterms:created xsi:type="dcterms:W3CDTF">2017-10-26T20:43:12Z</dcterms:created>
  <dcterms:modified xsi:type="dcterms:W3CDTF">2025-12-11T04:58:24Z</dcterms:modified>
  <cp:category/>
</cp:coreProperties>
</file>